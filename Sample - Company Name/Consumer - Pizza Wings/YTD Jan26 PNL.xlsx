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8750EAD2-96D6-4FDD-B293-63991535A84A}" xr6:coauthVersionLast="47" xr6:coauthVersionMax="47" xr10:uidLastSave="{00000000-0000-0000-0000-000000000000}"/>
  <bookViews>
    <workbookView xWindow="-110" yWindow="-110" windowWidth="19420" windowHeight="10300" xr2:uid="{E776489D-D25E-44BF-A3E2-8154DC07FA19}"/>
  </bookViews>
  <sheets>
    <sheet name="YTD-PN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26" i="1" l="1"/>
  <c r="V125" i="1"/>
  <c r="V124" i="1"/>
  <c r="O123" i="1"/>
  <c r="M123" i="1"/>
  <c r="V120" i="1"/>
  <c r="V119" i="1"/>
  <c r="V118" i="1"/>
  <c r="W116" i="1"/>
  <c r="R116" i="1"/>
  <c r="P116" i="1"/>
  <c r="N116" i="1"/>
  <c r="N127" i="1" s="1"/>
  <c r="L116" i="1"/>
  <c r="J116" i="1"/>
  <c r="H116" i="1"/>
  <c r="H127" i="1" s="1"/>
  <c r="F116" i="1"/>
  <c r="F127" i="1" s="1"/>
  <c r="D116" i="1"/>
  <c r="B116" i="1"/>
  <c r="V115" i="1"/>
  <c r="W113" i="1"/>
  <c r="R113" i="1"/>
  <c r="P113" i="1"/>
  <c r="N113" i="1"/>
  <c r="L113" i="1"/>
  <c r="J113" i="1"/>
  <c r="H113" i="1"/>
  <c r="F113" i="1"/>
  <c r="D113" i="1"/>
  <c r="B113" i="1"/>
  <c r="V111" i="1"/>
  <c r="V110" i="1"/>
  <c r="V109" i="1"/>
  <c r="V108" i="1"/>
  <c r="V107" i="1"/>
  <c r="V106" i="1"/>
  <c r="V105" i="1"/>
  <c r="V103" i="1"/>
  <c r="V102" i="1"/>
  <c r="V101" i="1"/>
  <c r="V100" i="1"/>
  <c r="V99" i="1"/>
  <c r="V98" i="1"/>
  <c r="V97" i="1"/>
  <c r="V95" i="1"/>
  <c r="V94" i="1"/>
  <c r="V93" i="1"/>
  <c r="W92" i="1"/>
  <c r="R92" i="1"/>
  <c r="P92" i="1"/>
  <c r="N92" i="1"/>
  <c r="L92" i="1"/>
  <c r="J92" i="1"/>
  <c r="H92" i="1"/>
  <c r="H61" i="1" s="1"/>
  <c r="F92" i="1"/>
  <c r="D92" i="1"/>
  <c r="B92" i="1"/>
  <c r="V90" i="1"/>
  <c r="I90" i="1"/>
  <c r="E90" i="1"/>
  <c r="E89" i="1"/>
  <c r="V88" i="1"/>
  <c r="M88" i="1"/>
  <c r="I87" i="1"/>
  <c r="G87" i="1"/>
  <c r="V86" i="1"/>
  <c r="M86" i="1"/>
  <c r="X85" i="1"/>
  <c r="V85" i="1"/>
  <c r="I85" i="1"/>
  <c r="G84" i="1"/>
  <c r="W82" i="1"/>
  <c r="R82" i="1"/>
  <c r="S84" i="1" s="1"/>
  <c r="P82" i="1"/>
  <c r="Q84" i="1" s="1"/>
  <c r="N82" i="1"/>
  <c r="O84" i="1" s="1"/>
  <c r="L82" i="1"/>
  <c r="M89" i="1" s="1"/>
  <c r="J82" i="1"/>
  <c r="K88" i="1" s="1"/>
  <c r="I82" i="1"/>
  <c r="H82" i="1"/>
  <c r="I88" i="1" s="1"/>
  <c r="G82" i="1"/>
  <c r="F82" i="1"/>
  <c r="G88" i="1" s="1"/>
  <c r="E82" i="1"/>
  <c r="D82" i="1"/>
  <c r="E85" i="1" s="1"/>
  <c r="B82" i="1"/>
  <c r="C89" i="1" s="1"/>
  <c r="V80" i="1"/>
  <c r="V79" i="1"/>
  <c r="V78" i="1"/>
  <c r="V77" i="1"/>
  <c r="V74" i="1"/>
  <c r="V72" i="1"/>
  <c r="V71" i="1"/>
  <c r="V70" i="1"/>
  <c r="V69" i="1"/>
  <c r="W67" i="1"/>
  <c r="R67" i="1"/>
  <c r="P67" i="1"/>
  <c r="N67" i="1"/>
  <c r="L67" i="1"/>
  <c r="L59" i="1" s="1"/>
  <c r="J67" i="1"/>
  <c r="H67" i="1"/>
  <c r="F67" i="1"/>
  <c r="F59" i="1" s="1"/>
  <c r="D67" i="1"/>
  <c r="B67" i="1"/>
  <c r="V64" i="1"/>
  <c r="N63" i="1"/>
  <c r="H63" i="1"/>
  <c r="F63" i="1"/>
  <c r="V62" i="1"/>
  <c r="W61" i="1"/>
  <c r="R61" i="1"/>
  <c r="N61" i="1"/>
  <c r="L61" i="1"/>
  <c r="J61" i="1"/>
  <c r="F61" i="1"/>
  <c r="D61" i="1"/>
  <c r="B61" i="1"/>
  <c r="W59" i="1"/>
  <c r="R59" i="1"/>
  <c r="P59" i="1"/>
  <c r="N59" i="1"/>
  <c r="J59" i="1"/>
  <c r="H59" i="1"/>
  <c r="D59" i="1"/>
  <c r="V57" i="1"/>
  <c r="V56" i="1"/>
  <c r="V55" i="1"/>
  <c r="V54" i="1"/>
  <c r="V53" i="1"/>
  <c r="V52" i="1"/>
  <c r="V51" i="1"/>
  <c r="V50" i="1"/>
  <c r="V49" i="1"/>
  <c r="V48" i="1"/>
  <c r="W46" i="1"/>
  <c r="R46" i="1"/>
  <c r="P46" i="1"/>
  <c r="N46" i="1"/>
  <c r="L46" i="1"/>
  <c r="J46" i="1"/>
  <c r="H46" i="1"/>
  <c r="F46" i="1"/>
  <c r="D46" i="1"/>
  <c r="B46" i="1"/>
  <c r="V45" i="1"/>
  <c r="V44" i="1"/>
  <c r="V43" i="1"/>
  <c r="V42" i="1"/>
  <c r="W39" i="1"/>
  <c r="R39" i="1"/>
  <c r="P39" i="1"/>
  <c r="N39" i="1"/>
  <c r="L39" i="1"/>
  <c r="J39" i="1"/>
  <c r="H39" i="1"/>
  <c r="F39" i="1"/>
  <c r="D39" i="1"/>
  <c r="B39" i="1"/>
  <c r="V38" i="1"/>
  <c r="V37" i="1"/>
  <c r="V34" i="1"/>
  <c r="W33" i="1"/>
  <c r="W31" i="1" s="1"/>
  <c r="R33" i="1"/>
  <c r="P33" i="1"/>
  <c r="P31" i="1" s="1"/>
  <c r="N33" i="1"/>
  <c r="N31" i="1" s="1"/>
  <c r="L33" i="1"/>
  <c r="J33" i="1"/>
  <c r="H33" i="1"/>
  <c r="H31" i="1" s="1"/>
  <c r="F33" i="1"/>
  <c r="D33" i="1"/>
  <c r="L31" i="1"/>
  <c r="J31" i="1"/>
  <c r="D31" i="1"/>
  <c r="V29" i="1"/>
  <c r="V28" i="1"/>
  <c r="V27" i="1"/>
  <c r="V26" i="1"/>
  <c r="V24" i="1"/>
  <c r="V23" i="1"/>
  <c r="V22" i="1"/>
  <c r="V21" i="1"/>
  <c r="V20" i="1"/>
  <c r="V19" i="1"/>
  <c r="V18" i="1"/>
  <c r="W16" i="1"/>
  <c r="R16" i="1"/>
  <c r="P16" i="1"/>
  <c r="N16" i="1"/>
  <c r="L16" i="1"/>
  <c r="J16" i="1"/>
  <c r="H16" i="1"/>
  <c r="F16" i="1"/>
  <c r="D16" i="1"/>
  <c r="B16" i="1"/>
  <c r="P15" i="1"/>
  <c r="P30" i="1" s="1"/>
  <c r="V14" i="1"/>
  <c r="V13" i="1"/>
  <c r="V12" i="1"/>
  <c r="V11" i="1"/>
  <c r="V10" i="1" s="1"/>
  <c r="W10" i="1"/>
  <c r="T10" i="1"/>
  <c r="R10" i="1"/>
  <c r="P10" i="1"/>
  <c r="N10" i="1"/>
  <c r="L10" i="1"/>
  <c r="J10" i="1"/>
  <c r="H10" i="1"/>
  <c r="F10" i="1"/>
  <c r="D10" i="1"/>
  <c r="B10" i="1"/>
  <c r="V9" i="1"/>
  <c r="V8" i="1"/>
  <c r="V7" i="1"/>
  <c r="V6" i="1"/>
  <c r="W5" i="1"/>
  <c r="T5" i="1"/>
  <c r="R5" i="1"/>
  <c r="P5" i="1"/>
  <c r="N5" i="1"/>
  <c r="L5" i="1"/>
  <c r="L3" i="1" s="1"/>
  <c r="J5" i="1"/>
  <c r="H5" i="1"/>
  <c r="F5" i="1"/>
  <c r="D5" i="1"/>
  <c r="B5" i="1"/>
  <c r="W4" i="1"/>
  <c r="W15" i="1" s="1"/>
  <c r="T4" i="1"/>
  <c r="R4" i="1"/>
  <c r="P4" i="1"/>
  <c r="N4" i="1"/>
  <c r="L4" i="1"/>
  <c r="J4" i="1"/>
  <c r="H4" i="1"/>
  <c r="H15" i="1" s="1"/>
  <c r="F4" i="1"/>
  <c r="D4" i="1"/>
  <c r="D3" i="1" s="1"/>
  <c r="B4" i="1"/>
  <c r="B15" i="1" s="1"/>
  <c r="C19" i="1" s="1"/>
  <c r="W3" i="1"/>
  <c r="T3" i="1"/>
  <c r="U11" i="1" s="1"/>
  <c r="P3" i="1"/>
  <c r="Q10" i="1" s="1"/>
  <c r="H3" i="1"/>
  <c r="I12" i="1" s="1"/>
  <c r="I56" i="1" l="1"/>
  <c r="I20" i="1"/>
  <c r="I15" i="1"/>
  <c r="I23" i="1"/>
  <c r="M14" i="1"/>
  <c r="M7" i="1"/>
  <c r="Q24" i="1"/>
  <c r="I5" i="1"/>
  <c r="L15" i="1"/>
  <c r="M101" i="1" s="1"/>
  <c r="I16" i="1"/>
  <c r="C84" i="1"/>
  <c r="O89" i="1"/>
  <c r="I6" i="1"/>
  <c r="Q9" i="1"/>
  <c r="Q12" i="1"/>
  <c r="Q19" i="1"/>
  <c r="M82" i="1"/>
  <c r="E84" i="1"/>
  <c r="G86" i="1"/>
  <c r="M87" i="1"/>
  <c r="Q89" i="1"/>
  <c r="U4" i="1"/>
  <c r="M5" i="1"/>
  <c r="C10" i="1"/>
  <c r="R15" i="1"/>
  <c r="X103" i="1" s="1"/>
  <c r="Q13" i="1"/>
  <c r="Q15" i="1"/>
  <c r="O82" i="1"/>
  <c r="G85" i="1"/>
  <c r="O86" i="1"/>
  <c r="O88" i="1"/>
  <c r="G90" i="1"/>
  <c r="M16" i="1"/>
  <c r="B3" i="1"/>
  <c r="C4" i="1" s="1"/>
  <c r="Q7" i="1"/>
  <c r="U10" i="1"/>
  <c r="Q16" i="1"/>
  <c r="Q31" i="1"/>
  <c r="Q86" i="1"/>
  <c r="Q106" i="1"/>
  <c r="Q5" i="1"/>
  <c r="F15" i="1"/>
  <c r="G28" i="1" s="1"/>
  <c r="I14" i="1"/>
  <c r="C16" i="1"/>
  <c r="Q27" i="1"/>
  <c r="Q82" i="1"/>
  <c r="K85" i="1"/>
  <c r="X88" i="1"/>
  <c r="O90" i="1"/>
  <c r="P127" i="1"/>
  <c r="I8" i="1"/>
  <c r="I11" i="1"/>
  <c r="M85" i="1"/>
  <c r="E87" i="1"/>
  <c r="B127" i="1"/>
  <c r="B63" i="1" s="1"/>
  <c r="C63" i="1" s="1"/>
  <c r="U8" i="1"/>
  <c r="I31" i="1"/>
  <c r="W127" i="1"/>
  <c r="W63" i="1" s="1"/>
  <c r="E14" i="1"/>
  <c r="E6" i="1"/>
  <c r="E7" i="1"/>
  <c r="E12" i="1"/>
  <c r="E9" i="1"/>
  <c r="E13" i="1"/>
  <c r="E10" i="1"/>
  <c r="E8" i="1"/>
  <c r="E11" i="1"/>
  <c r="S114" i="1"/>
  <c r="X111" i="1"/>
  <c r="S107" i="1"/>
  <c r="S99" i="1"/>
  <c r="X113" i="1"/>
  <c r="S110" i="1"/>
  <c r="X106" i="1"/>
  <c r="X98" i="1"/>
  <c r="X125" i="1"/>
  <c r="S124" i="1"/>
  <c r="S122" i="1"/>
  <c r="X109" i="1"/>
  <c r="X93" i="1"/>
  <c r="X78" i="1"/>
  <c r="S74" i="1"/>
  <c r="X123" i="1"/>
  <c r="X104" i="1"/>
  <c r="S100" i="1"/>
  <c r="X96" i="1"/>
  <c r="X73" i="1"/>
  <c r="X107" i="1"/>
  <c r="S103" i="1"/>
  <c r="X99" i="1"/>
  <c r="S92" i="1"/>
  <c r="S119" i="1"/>
  <c r="X110" i="1"/>
  <c r="S106" i="1"/>
  <c r="S98" i="1"/>
  <c r="X71" i="1"/>
  <c r="X100" i="1"/>
  <c r="S76" i="1"/>
  <c r="S50" i="1"/>
  <c r="S123" i="1"/>
  <c r="X115" i="1"/>
  <c r="X105" i="1"/>
  <c r="X72" i="1"/>
  <c r="X49" i="1"/>
  <c r="X43" i="1"/>
  <c r="X37" i="1"/>
  <c r="S109" i="1"/>
  <c r="S56" i="1"/>
  <c r="X52" i="1"/>
  <c r="S48" i="1"/>
  <c r="S36" i="1"/>
  <c r="X69" i="1"/>
  <c r="X59" i="1"/>
  <c r="X55" i="1"/>
  <c r="X47" i="1"/>
  <c r="S73" i="1"/>
  <c r="S72" i="1"/>
  <c r="X68" i="1"/>
  <c r="S54" i="1"/>
  <c r="X38" i="1"/>
  <c r="X108" i="1"/>
  <c r="S101" i="1"/>
  <c r="S71" i="1"/>
  <c r="X53" i="1"/>
  <c r="S49" i="1"/>
  <c r="S43" i="1"/>
  <c r="X77" i="1"/>
  <c r="S47" i="1"/>
  <c r="S35" i="1"/>
  <c r="X29" i="1"/>
  <c r="X21" i="1"/>
  <c r="X24" i="1"/>
  <c r="S20" i="1"/>
  <c r="X16" i="1"/>
  <c r="X27" i="1"/>
  <c r="S104" i="1"/>
  <c r="S93" i="1"/>
  <c r="S55" i="1"/>
  <c r="S34" i="1"/>
  <c r="X51" i="1"/>
  <c r="S29" i="1"/>
  <c r="X25" i="1"/>
  <c r="X17" i="1"/>
  <c r="X36" i="1"/>
  <c r="X35" i="1"/>
  <c r="X28" i="1"/>
  <c r="X20" i="1"/>
  <c r="X18" i="1"/>
  <c r="S68" i="1"/>
  <c r="R30" i="1"/>
  <c r="X34" i="1"/>
  <c r="E5" i="1"/>
  <c r="X5" i="1"/>
  <c r="C7" i="1"/>
  <c r="V17" i="1"/>
  <c r="T16" i="1"/>
  <c r="U13" i="1"/>
  <c r="M106" i="1"/>
  <c r="M98" i="1"/>
  <c r="M109" i="1"/>
  <c r="M93" i="1"/>
  <c r="M96" i="1"/>
  <c r="M73" i="1"/>
  <c r="M114" i="1"/>
  <c r="M99" i="1"/>
  <c r="M120" i="1"/>
  <c r="M113" i="1"/>
  <c r="M110" i="1"/>
  <c r="M94" i="1"/>
  <c r="M118" i="1"/>
  <c r="M105" i="1"/>
  <c r="M97" i="1"/>
  <c r="M108" i="1"/>
  <c r="M69" i="1"/>
  <c r="M57" i="1"/>
  <c r="M49" i="1"/>
  <c r="M37" i="1"/>
  <c r="M55" i="1"/>
  <c r="M47" i="1"/>
  <c r="M41" i="1"/>
  <c r="M50" i="1"/>
  <c r="M64" i="1"/>
  <c r="M53" i="1"/>
  <c r="M103" i="1"/>
  <c r="M56" i="1"/>
  <c r="M72" i="1"/>
  <c r="M71" i="1"/>
  <c r="M51" i="1"/>
  <c r="M62" i="1"/>
  <c r="M35" i="1"/>
  <c r="M22" i="1"/>
  <c r="M26" i="1"/>
  <c r="M25" i="1"/>
  <c r="M28" i="1"/>
  <c r="M20" i="1"/>
  <c r="M54" i="1"/>
  <c r="L30" i="1"/>
  <c r="V35" i="1"/>
  <c r="V33" i="1" s="1"/>
  <c r="T33" i="1"/>
  <c r="O4" i="1"/>
  <c r="O46" i="1"/>
  <c r="J3" i="1"/>
  <c r="K4" i="1" s="1"/>
  <c r="M10" i="1"/>
  <c r="J15" i="1"/>
  <c r="V25" i="1"/>
  <c r="U36" i="1"/>
  <c r="V36" i="1"/>
  <c r="K61" i="1"/>
  <c r="G124" i="1"/>
  <c r="G97" i="1"/>
  <c r="G116" i="1"/>
  <c r="G115" i="1"/>
  <c r="G100" i="1"/>
  <c r="G103" i="1"/>
  <c r="G95" i="1"/>
  <c r="G80" i="1"/>
  <c r="G125" i="1"/>
  <c r="G98" i="1"/>
  <c r="G75" i="1"/>
  <c r="G109" i="1"/>
  <c r="G93" i="1"/>
  <c r="G96" i="1"/>
  <c r="G73" i="1"/>
  <c r="G120" i="1"/>
  <c r="G71" i="1"/>
  <c r="G36" i="1"/>
  <c r="G74" i="1"/>
  <c r="G70" i="1"/>
  <c r="G45" i="1"/>
  <c r="G62" i="1"/>
  <c r="G54" i="1"/>
  <c r="G40" i="1"/>
  <c r="G63" i="1"/>
  <c r="G92" i="1"/>
  <c r="G78" i="1"/>
  <c r="G52" i="1"/>
  <c r="G79" i="1"/>
  <c r="G110" i="1"/>
  <c r="G23" i="1"/>
  <c r="G126" i="1"/>
  <c r="G26" i="1"/>
  <c r="G29" i="1"/>
  <c r="G21" i="1"/>
  <c r="F30" i="1"/>
  <c r="G50" i="1"/>
  <c r="G27" i="1"/>
  <c r="G19" i="1"/>
  <c r="G44" i="1"/>
  <c r="G22" i="1"/>
  <c r="R3" i="1"/>
  <c r="S4" i="1" s="1"/>
  <c r="C114" i="1"/>
  <c r="C107" i="1"/>
  <c r="C99" i="1"/>
  <c r="C126" i="1"/>
  <c r="C120" i="1"/>
  <c r="C110" i="1"/>
  <c r="C102" i="1"/>
  <c r="C94" i="1"/>
  <c r="C79" i="1"/>
  <c r="C124" i="1"/>
  <c r="C122" i="1"/>
  <c r="C118" i="1"/>
  <c r="C105" i="1"/>
  <c r="C97" i="1"/>
  <c r="C74" i="1"/>
  <c r="C115" i="1"/>
  <c r="C108" i="1"/>
  <c r="C100" i="1"/>
  <c r="C77" i="1"/>
  <c r="C69" i="1"/>
  <c r="C111" i="1"/>
  <c r="C103" i="1"/>
  <c r="C95" i="1"/>
  <c r="C92" i="1"/>
  <c r="C80" i="1"/>
  <c r="C125" i="1"/>
  <c r="C121" i="1"/>
  <c r="C119" i="1"/>
  <c r="C106" i="1"/>
  <c r="C98" i="1"/>
  <c r="C75" i="1"/>
  <c r="C73" i="1"/>
  <c r="C50" i="1"/>
  <c r="C44" i="1"/>
  <c r="C38" i="1"/>
  <c r="C104" i="1"/>
  <c r="C93" i="1"/>
  <c r="C72" i="1"/>
  <c r="C64" i="1"/>
  <c r="C53" i="1"/>
  <c r="C71" i="1"/>
  <c r="C70" i="1"/>
  <c r="C56" i="1"/>
  <c r="C48" i="1"/>
  <c r="C42" i="1"/>
  <c r="C51" i="1"/>
  <c r="C45" i="1"/>
  <c r="C117" i="1"/>
  <c r="C109" i="1"/>
  <c r="C96" i="1"/>
  <c r="C76" i="1"/>
  <c r="C68" i="1"/>
  <c r="C62" i="1"/>
  <c r="C54" i="1"/>
  <c r="C40" i="1"/>
  <c r="C123" i="1"/>
  <c r="C78" i="1"/>
  <c r="C57" i="1"/>
  <c r="C49" i="1"/>
  <c r="C43" i="1"/>
  <c r="C37" i="1"/>
  <c r="C52" i="1"/>
  <c r="C41" i="1"/>
  <c r="C25" i="1"/>
  <c r="C17" i="1"/>
  <c r="C33" i="1"/>
  <c r="C28" i="1"/>
  <c r="C20" i="1"/>
  <c r="C47" i="1"/>
  <c r="C23" i="1"/>
  <c r="C101" i="1"/>
  <c r="C34" i="1"/>
  <c r="C26" i="1"/>
  <c r="C18" i="1"/>
  <c r="C55" i="1"/>
  <c r="C36" i="1"/>
  <c r="C29" i="1"/>
  <c r="C21" i="1"/>
  <c r="C35" i="1"/>
  <c r="C27" i="1"/>
  <c r="C24" i="1"/>
  <c r="C15" i="1"/>
  <c r="U17" i="1"/>
  <c r="G20" i="1"/>
  <c r="G99" i="1"/>
  <c r="U14" i="1"/>
  <c r="U7" i="1"/>
  <c r="M6" i="1"/>
  <c r="X10" i="1"/>
  <c r="M18" i="1"/>
  <c r="X4" i="1"/>
  <c r="X3" i="1" s="1"/>
  <c r="U5" i="1"/>
  <c r="U6" i="1"/>
  <c r="C9" i="1"/>
  <c r="D15" i="1"/>
  <c r="E16" i="1" s="1"/>
  <c r="N15" i="1"/>
  <c r="O16" i="1" s="1"/>
  <c r="P58" i="1"/>
  <c r="Q30" i="1"/>
  <c r="F31" i="1"/>
  <c r="G31" i="1" s="1"/>
  <c r="E4" i="1"/>
  <c r="S10" i="1"/>
  <c r="C22" i="1"/>
  <c r="B30" i="1"/>
  <c r="M12" i="1"/>
  <c r="M13" i="1"/>
  <c r="M11" i="1"/>
  <c r="M8" i="1"/>
  <c r="M4" i="1"/>
  <c r="M9" i="1"/>
  <c r="E31" i="1"/>
  <c r="X31" i="1"/>
  <c r="V47" i="1"/>
  <c r="V46" i="1" s="1"/>
  <c r="T46" i="1"/>
  <c r="C13" i="1"/>
  <c r="C11" i="1"/>
  <c r="C8" i="1"/>
  <c r="C14" i="1"/>
  <c r="C6" i="1"/>
  <c r="C12" i="1"/>
  <c r="C5" i="1"/>
  <c r="C3" i="1" s="1"/>
  <c r="G17" i="1"/>
  <c r="K113" i="1"/>
  <c r="S39" i="1"/>
  <c r="R31" i="1"/>
  <c r="I48" i="1"/>
  <c r="I59" i="1"/>
  <c r="C127" i="1"/>
  <c r="I13" i="1"/>
  <c r="I17" i="1"/>
  <c r="Q21" i="1"/>
  <c r="I25" i="1"/>
  <c r="Q29" i="1"/>
  <c r="G33" i="1"/>
  <c r="O33" i="1"/>
  <c r="I39" i="1"/>
  <c r="X39" i="1"/>
  <c r="Q46" i="1"/>
  <c r="Q52" i="1"/>
  <c r="K59" i="1"/>
  <c r="O61" i="1"/>
  <c r="I63" i="1"/>
  <c r="Q69" i="1"/>
  <c r="E116" i="1"/>
  <c r="I124" i="1"/>
  <c r="V87" i="1"/>
  <c r="Q116" i="1"/>
  <c r="F3" i="1"/>
  <c r="G4" i="1" s="1"/>
  <c r="N3" i="1"/>
  <c r="O10" i="1" s="1"/>
  <c r="Q6" i="1"/>
  <c r="U9" i="1"/>
  <c r="G10" i="1"/>
  <c r="Q14" i="1"/>
  <c r="T15" i="1"/>
  <c r="U21" i="1" s="1"/>
  <c r="Q18" i="1"/>
  <c r="I22" i="1"/>
  <c r="Q26" i="1"/>
  <c r="U27" i="1"/>
  <c r="X33" i="1"/>
  <c r="Q34" i="1"/>
  <c r="K39" i="1"/>
  <c r="V41" i="1"/>
  <c r="S46" i="1"/>
  <c r="U48" i="1"/>
  <c r="M59" i="1"/>
  <c r="S61" i="1"/>
  <c r="C46" i="1"/>
  <c r="Q92" i="1"/>
  <c r="I7" i="1"/>
  <c r="Q8" i="1"/>
  <c r="I9" i="1"/>
  <c r="Q11" i="1"/>
  <c r="U12" i="1"/>
  <c r="I19" i="1"/>
  <c r="Q23" i="1"/>
  <c r="I27" i="1"/>
  <c r="I33" i="1"/>
  <c r="Q33" i="1"/>
  <c r="M39" i="1"/>
  <c r="X46" i="1"/>
  <c r="O59" i="1"/>
  <c r="C61" i="1"/>
  <c r="B59" i="1"/>
  <c r="C59" i="1" s="1"/>
  <c r="C67" i="1"/>
  <c r="Q67" i="1"/>
  <c r="V76" i="1"/>
  <c r="C113" i="1"/>
  <c r="I127" i="1"/>
  <c r="I28" i="1"/>
  <c r="M61" i="1"/>
  <c r="I120" i="1"/>
  <c r="I4" i="1"/>
  <c r="Q4" i="1"/>
  <c r="I10" i="1"/>
  <c r="Q20" i="1"/>
  <c r="I24" i="1"/>
  <c r="Q28" i="1"/>
  <c r="W30" i="1"/>
  <c r="I36" i="1"/>
  <c r="Q37" i="1"/>
  <c r="U38" i="1"/>
  <c r="I42" i="1"/>
  <c r="Q43" i="1"/>
  <c r="I46" i="1"/>
  <c r="U50" i="1"/>
  <c r="Q59" i="1"/>
  <c r="E61" i="1"/>
  <c r="X61" i="1"/>
  <c r="S67" i="1"/>
  <c r="I92" i="1"/>
  <c r="Q17" i="1"/>
  <c r="I21" i="1"/>
  <c r="Q25" i="1"/>
  <c r="I29" i="1"/>
  <c r="H30" i="1"/>
  <c r="C39" i="1"/>
  <c r="V40" i="1"/>
  <c r="T39" i="1"/>
  <c r="U40" i="1"/>
  <c r="K46" i="1"/>
  <c r="S59" i="1"/>
  <c r="G61" i="1"/>
  <c r="V114" i="1"/>
  <c r="V113" i="1" s="1"/>
  <c r="T113" i="1"/>
  <c r="U113" i="1" s="1"/>
  <c r="I115" i="1"/>
  <c r="I113" i="1"/>
  <c r="I108" i="1"/>
  <c r="I100" i="1"/>
  <c r="I111" i="1"/>
  <c r="I103" i="1"/>
  <c r="I95" i="1"/>
  <c r="I80" i="1"/>
  <c r="I125" i="1"/>
  <c r="I121" i="1"/>
  <c r="I119" i="1"/>
  <c r="I106" i="1"/>
  <c r="I98" i="1"/>
  <c r="I75" i="1"/>
  <c r="I109" i="1"/>
  <c r="I101" i="1"/>
  <c r="I93" i="1"/>
  <c r="I78" i="1"/>
  <c r="I70" i="1"/>
  <c r="I123" i="1"/>
  <c r="I117" i="1"/>
  <c r="I104" i="1"/>
  <c r="I96" i="1"/>
  <c r="I114" i="1"/>
  <c r="I107" i="1"/>
  <c r="I99" i="1"/>
  <c r="I76" i="1"/>
  <c r="I68" i="1"/>
  <c r="I122" i="1"/>
  <c r="I118" i="1"/>
  <c r="I97" i="1"/>
  <c r="I74" i="1"/>
  <c r="I72" i="1"/>
  <c r="I51" i="1"/>
  <c r="I45" i="1"/>
  <c r="I102" i="1"/>
  <c r="I62" i="1"/>
  <c r="I54" i="1"/>
  <c r="I40" i="1"/>
  <c r="I69" i="1"/>
  <c r="I57" i="1"/>
  <c r="I49" i="1"/>
  <c r="I43" i="1"/>
  <c r="I37" i="1"/>
  <c r="I52" i="1"/>
  <c r="I116" i="1"/>
  <c r="I94" i="1"/>
  <c r="I79" i="1"/>
  <c r="I77" i="1"/>
  <c r="I55" i="1"/>
  <c r="I47" i="1"/>
  <c r="I41" i="1"/>
  <c r="I35" i="1"/>
  <c r="I105" i="1"/>
  <c r="I50" i="1"/>
  <c r="I44" i="1"/>
  <c r="I38" i="1"/>
  <c r="I126" i="1"/>
  <c r="I110" i="1"/>
  <c r="I73" i="1"/>
  <c r="I64" i="1"/>
  <c r="I53" i="1"/>
  <c r="Q123" i="1"/>
  <c r="Q117" i="1"/>
  <c r="Q113" i="1"/>
  <c r="Q104" i="1"/>
  <c r="Q96" i="1"/>
  <c r="Q114" i="1"/>
  <c r="Q107" i="1"/>
  <c r="Q99" i="1"/>
  <c r="Q76" i="1"/>
  <c r="Q126" i="1"/>
  <c r="Q120" i="1"/>
  <c r="Q110" i="1"/>
  <c r="Q102" i="1"/>
  <c r="Q94" i="1"/>
  <c r="Q79" i="1"/>
  <c r="Q71" i="1"/>
  <c r="Q124" i="1"/>
  <c r="Q122" i="1"/>
  <c r="Q118" i="1"/>
  <c r="Q105" i="1"/>
  <c r="Q97" i="1"/>
  <c r="Q74" i="1"/>
  <c r="Q115" i="1"/>
  <c r="Q108" i="1"/>
  <c r="Q100" i="1"/>
  <c r="Q111" i="1"/>
  <c r="Q103" i="1"/>
  <c r="Q95" i="1"/>
  <c r="Q80" i="1"/>
  <c r="Q72" i="1"/>
  <c r="Q93" i="1"/>
  <c r="Q68" i="1"/>
  <c r="Q55" i="1"/>
  <c r="Q47" i="1"/>
  <c r="Q41" i="1"/>
  <c r="Q35" i="1"/>
  <c r="Q125" i="1"/>
  <c r="Q77" i="1"/>
  <c r="Q50" i="1"/>
  <c r="Q44" i="1"/>
  <c r="Q38" i="1"/>
  <c r="Q121" i="1"/>
  <c r="Q119" i="1"/>
  <c r="Q98" i="1"/>
  <c r="Q78" i="1"/>
  <c r="Q64" i="1"/>
  <c r="Q53" i="1"/>
  <c r="Q109" i="1"/>
  <c r="Q56" i="1"/>
  <c r="Q48" i="1"/>
  <c r="Q51" i="1"/>
  <c r="Q45" i="1"/>
  <c r="Q73" i="1"/>
  <c r="Q62" i="1"/>
  <c r="Q54" i="1"/>
  <c r="Q40" i="1"/>
  <c r="Q101" i="1"/>
  <c r="Q75" i="1"/>
  <c r="Q70" i="1"/>
  <c r="Q57" i="1"/>
  <c r="I18" i="1"/>
  <c r="Q22" i="1"/>
  <c r="I26" i="1"/>
  <c r="B31" i="1"/>
  <c r="C31" i="1" s="1"/>
  <c r="I34" i="1"/>
  <c r="Q36" i="1"/>
  <c r="E39" i="1"/>
  <c r="Q39" i="1"/>
  <c r="Q42" i="1"/>
  <c r="Q49" i="1"/>
  <c r="E59" i="1"/>
  <c r="I61" i="1"/>
  <c r="X63" i="1"/>
  <c r="I67" i="1"/>
  <c r="I71" i="1"/>
  <c r="V68" i="1"/>
  <c r="T67" i="1"/>
  <c r="E92" i="1"/>
  <c r="U95" i="1"/>
  <c r="V104" i="1"/>
  <c r="G127" i="1"/>
  <c r="S116" i="1"/>
  <c r="P61" i="1"/>
  <c r="Q61" i="1" s="1"/>
  <c r="U68" i="1"/>
  <c r="V75" i="1"/>
  <c r="S86" i="1"/>
  <c r="K90" i="1"/>
  <c r="X127" i="1"/>
  <c r="O67" i="1"/>
  <c r="G67" i="1"/>
  <c r="V84" i="1"/>
  <c r="T82" i="1"/>
  <c r="U87" i="1" s="1"/>
  <c r="T92" i="1"/>
  <c r="K116" i="1"/>
  <c r="U62" i="1"/>
  <c r="V73" i="1"/>
  <c r="C87" i="1"/>
  <c r="C90" i="1"/>
  <c r="C85" i="1"/>
  <c r="C88" i="1"/>
  <c r="K86" i="1"/>
  <c r="K89" i="1"/>
  <c r="K84" i="1"/>
  <c r="K87" i="1"/>
  <c r="S87" i="1"/>
  <c r="X82" i="1"/>
  <c r="S90" i="1"/>
  <c r="X86" i="1"/>
  <c r="X89" i="1"/>
  <c r="S85" i="1"/>
  <c r="S88" i="1"/>
  <c r="X84" i="1"/>
  <c r="X87" i="1"/>
  <c r="C86" i="1"/>
  <c r="S89" i="1"/>
  <c r="U107" i="1"/>
  <c r="M116" i="1"/>
  <c r="J127" i="1"/>
  <c r="U51" i="1"/>
  <c r="C82" i="1"/>
  <c r="K82" i="1"/>
  <c r="S82" i="1"/>
  <c r="V89" i="1"/>
  <c r="V5" i="1" s="1"/>
  <c r="V96" i="1"/>
  <c r="V92" i="1" s="1"/>
  <c r="U96" i="1"/>
  <c r="O127" i="1"/>
  <c r="V117" i="1"/>
  <c r="T116" i="1"/>
  <c r="U117" i="1"/>
  <c r="U121" i="1"/>
  <c r="X90" i="1"/>
  <c r="M92" i="1"/>
  <c r="C116" i="1"/>
  <c r="V123" i="1"/>
  <c r="R127" i="1"/>
  <c r="I84" i="1"/>
  <c r="O85" i="1"/>
  <c r="E86" i="1"/>
  <c r="Q88" i="1"/>
  <c r="G89" i="1"/>
  <c r="M90" i="1"/>
  <c r="Q85" i="1"/>
  <c r="I89" i="1"/>
  <c r="D127" i="1"/>
  <c r="L127" i="1"/>
  <c r="M84" i="1"/>
  <c r="I86" i="1"/>
  <c r="O87" i="1"/>
  <c r="E88" i="1"/>
  <c r="Q90" i="1"/>
  <c r="U106" i="1"/>
  <c r="U119" i="1"/>
  <c r="Q87" i="1"/>
  <c r="U84" i="1" l="1"/>
  <c r="G46" i="1"/>
  <c r="G64" i="1"/>
  <c r="G35" i="1"/>
  <c r="G53" i="1"/>
  <c r="G41" i="1"/>
  <c r="G107" i="1"/>
  <c r="G68" i="1"/>
  <c r="G42" i="1"/>
  <c r="G104" i="1"/>
  <c r="G106" i="1"/>
  <c r="G111" i="1"/>
  <c r="G105" i="1"/>
  <c r="G16" i="1"/>
  <c r="M38" i="1"/>
  <c r="M19" i="1"/>
  <c r="M36" i="1"/>
  <c r="M115" i="1"/>
  <c r="M77" i="1"/>
  <c r="M70" i="1"/>
  <c r="M122" i="1"/>
  <c r="M126" i="1"/>
  <c r="M104" i="1"/>
  <c r="M119" i="1"/>
  <c r="X26" i="1"/>
  <c r="S41" i="1"/>
  <c r="S18" i="1"/>
  <c r="X23" i="1"/>
  <c r="S28" i="1"/>
  <c r="S52" i="1"/>
  <c r="S57" i="1"/>
  <c r="S40" i="1"/>
  <c r="X97" i="1"/>
  <c r="X80" i="1"/>
  <c r="X74" i="1"/>
  <c r="S53" i="1"/>
  <c r="S38" i="1"/>
  <c r="S75" i="1"/>
  <c r="S121" i="1"/>
  <c r="S111" i="1"/>
  <c r="S108" i="1"/>
  <c r="S97" i="1"/>
  <c r="X75" i="1"/>
  <c r="S120" i="1"/>
  <c r="X116" i="1"/>
  <c r="S16" i="1"/>
  <c r="M31" i="1"/>
  <c r="Q3" i="1"/>
  <c r="G59" i="1"/>
  <c r="G37" i="1"/>
  <c r="G15" i="1"/>
  <c r="G47" i="1"/>
  <c r="G49" i="1"/>
  <c r="G76" i="1"/>
  <c r="G48" i="1"/>
  <c r="G117" i="1"/>
  <c r="G119" i="1"/>
  <c r="G113" i="1"/>
  <c r="G118" i="1"/>
  <c r="M34" i="1"/>
  <c r="M15" i="1"/>
  <c r="M27" i="1"/>
  <c r="M42" i="1"/>
  <c r="M44" i="1"/>
  <c r="M111" i="1"/>
  <c r="M75" i="1"/>
  <c r="M124" i="1"/>
  <c r="M68" i="1"/>
  <c r="M117" i="1"/>
  <c r="M121" i="1"/>
  <c r="S27" i="1"/>
  <c r="X42" i="1"/>
  <c r="X22" i="1"/>
  <c r="X19" i="1"/>
  <c r="S33" i="1"/>
  <c r="X56" i="1"/>
  <c r="X67" i="1"/>
  <c r="X44" i="1"/>
  <c r="X118" i="1"/>
  <c r="S113" i="1"/>
  <c r="X92" i="1"/>
  <c r="X57" i="1"/>
  <c r="X40" i="1"/>
  <c r="X79" i="1"/>
  <c r="S125" i="1"/>
  <c r="X114" i="1"/>
  <c r="S115" i="1"/>
  <c r="X101" i="1"/>
  <c r="S79" i="1"/>
  <c r="S126" i="1"/>
  <c r="I3" i="1"/>
  <c r="S31" i="1"/>
  <c r="X15" i="1"/>
  <c r="G25" i="1"/>
  <c r="G43" i="1"/>
  <c r="G18" i="1"/>
  <c r="G55" i="1"/>
  <c r="G57" i="1"/>
  <c r="G102" i="1"/>
  <c r="G56" i="1"/>
  <c r="G123" i="1"/>
  <c r="G121" i="1"/>
  <c r="G77" i="1"/>
  <c r="G122" i="1"/>
  <c r="M23" i="1"/>
  <c r="M17" i="1"/>
  <c r="M45" i="1"/>
  <c r="M48" i="1"/>
  <c r="M46" i="1"/>
  <c r="M52" i="1"/>
  <c r="M95" i="1"/>
  <c r="M79" i="1"/>
  <c r="M76" i="1"/>
  <c r="M78" i="1"/>
  <c r="M125" i="1"/>
  <c r="X45" i="1"/>
  <c r="S15" i="1"/>
  <c r="S19" i="1"/>
  <c r="S26" i="1"/>
  <c r="S23" i="1"/>
  <c r="S17" i="1"/>
  <c r="X64" i="1"/>
  <c r="S70" i="1"/>
  <c r="X50" i="1"/>
  <c r="S45" i="1"/>
  <c r="X124" i="1"/>
  <c r="S96" i="1"/>
  <c r="S64" i="1"/>
  <c r="S44" i="1"/>
  <c r="X94" i="1"/>
  <c r="S80" i="1"/>
  <c r="S69" i="1"/>
  <c r="X117" i="1"/>
  <c r="S105" i="1"/>
  <c r="S94" i="1"/>
  <c r="X95" i="1"/>
  <c r="Q127" i="1"/>
  <c r="P63" i="1"/>
  <c r="Q63" i="1" s="1"/>
  <c r="E3" i="1"/>
  <c r="U3" i="1"/>
  <c r="G39" i="1"/>
  <c r="G38" i="1"/>
  <c r="G24" i="1"/>
  <c r="G34" i="1"/>
  <c r="G94" i="1"/>
  <c r="G69" i="1"/>
  <c r="G51" i="1"/>
  <c r="G114" i="1"/>
  <c r="G101" i="1"/>
  <c r="G72" i="1"/>
  <c r="G108" i="1"/>
  <c r="M80" i="1"/>
  <c r="M40" i="1"/>
  <c r="M24" i="1"/>
  <c r="M67" i="1"/>
  <c r="M100" i="1"/>
  <c r="M43" i="1"/>
  <c r="M74" i="1"/>
  <c r="M102" i="1"/>
  <c r="M107" i="1"/>
  <c r="S22" i="1"/>
  <c r="S24" i="1"/>
  <c r="S21" i="1"/>
  <c r="X41" i="1"/>
  <c r="X48" i="1"/>
  <c r="S25" i="1"/>
  <c r="S37" i="1"/>
  <c r="X76" i="1"/>
  <c r="S62" i="1"/>
  <c r="S51" i="1"/>
  <c r="S42" i="1"/>
  <c r="S117" i="1"/>
  <c r="S78" i="1"/>
  <c r="X54" i="1"/>
  <c r="X102" i="1"/>
  <c r="S95" i="1"/>
  <c r="S77" i="1"/>
  <c r="X70" i="1"/>
  <c r="S118" i="1"/>
  <c r="S102" i="1"/>
  <c r="M33" i="1"/>
  <c r="M21" i="1"/>
  <c r="M29" i="1"/>
  <c r="B58" i="1"/>
  <c r="C30" i="1"/>
  <c r="U88" i="1"/>
  <c r="U98" i="1"/>
  <c r="S127" i="1"/>
  <c r="R63" i="1"/>
  <c r="S63" i="1" s="1"/>
  <c r="U116" i="1"/>
  <c r="T127" i="1"/>
  <c r="U55" i="1"/>
  <c r="U56" i="1"/>
  <c r="U29" i="1"/>
  <c r="O109" i="1"/>
  <c r="O101" i="1"/>
  <c r="O93" i="1"/>
  <c r="O92" i="1"/>
  <c r="O117" i="1"/>
  <c r="O116" i="1"/>
  <c r="O104" i="1"/>
  <c r="O96" i="1"/>
  <c r="O73" i="1"/>
  <c r="O114" i="1"/>
  <c r="O113" i="1"/>
  <c r="O107" i="1"/>
  <c r="O99" i="1"/>
  <c r="O76" i="1"/>
  <c r="O68" i="1"/>
  <c r="O126" i="1"/>
  <c r="O120" i="1"/>
  <c r="O110" i="1"/>
  <c r="O102" i="1"/>
  <c r="O94" i="1"/>
  <c r="O79" i="1"/>
  <c r="O71" i="1"/>
  <c r="O124" i="1"/>
  <c r="O122" i="1"/>
  <c r="O118" i="1"/>
  <c r="O105" i="1"/>
  <c r="O97" i="1"/>
  <c r="O115" i="1"/>
  <c r="O108" i="1"/>
  <c r="O100" i="1"/>
  <c r="O77" i="1"/>
  <c r="O69" i="1"/>
  <c r="O106" i="1"/>
  <c r="O52" i="1"/>
  <c r="O111" i="1"/>
  <c r="O55" i="1"/>
  <c r="O47" i="1"/>
  <c r="O41" i="1"/>
  <c r="O125" i="1"/>
  <c r="O50" i="1"/>
  <c r="O44" i="1"/>
  <c r="O38" i="1"/>
  <c r="O121" i="1"/>
  <c r="O119" i="1"/>
  <c r="O98" i="1"/>
  <c r="O78" i="1"/>
  <c r="O64" i="1"/>
  <c r="O63" i="1"/>
  <c r="O53" i="1"/>
  <c r="O103" i="1"/>
  <c r="O56" i="1"/>
  <c r="O48" i="1"/>
  <c r="O42" i="1"/>
  <c r="O36" i="1"/>
  <c r="O72" i="1"/>
  <c r="O51" i="1"/>
  <c r="O45" i="1"/>
  <c r="O80" i="1"/>
  <c r="O74" i="1"/>
  <c r="O62" i="1"/>
  <c r="O54" i="1"/>
  <c r="O27" i="1"/>
  <c r="O19" i="1"/>
  <c r="O49" i="1"/>
  <c r="O39" i="1"/>
  <c r="O35" i="1"/>
  <c r="O22" i="1"/>
  <c r="O15" i="1"/>
  <c r="O70" i="1"/>
  <c r="O40" i="1"/>
  <c r="O25" i="1"/>
  <c r="O17" i="1"/>
  <c r="O57" i="1"/>
  <c r="O43" i="1"/>
  <c r="O37" i="1"/>
  <c r="N30" i="1"/>
  <c r="O28" i="1"/>
  <c r="O20" i="1"/>
  <c r="O23" i="1"/>
  <c r="O29" i="1"/>
  <c r="O21" i="1"/>
  <c r="O75" i="1"/>
  <c r="O34" i="1"/>
  <c r="O26" i="1"/>
  <c r="O18" i="1"/>
  <c r="O24" i="1"/>
  <c r="O95" i="1"/>
  <c r="U25" i="1"/>
  <c r="G5" i="1"/>
  <c r="R58" i="1"/>
  <c r="S30" i="1"/>
  <c r="M127" i="1"/>
  <c r="L63" i="1"/>
  <c r="M63" i="1" s="1"/>
  <c r="T31" i="1"/>
  <c r="U31" i="1" s="1"/>
  <c r="U33" i="1"/>
  <c r="E127" i="1"/>
  <c r="D63" i="1"/>
  <c r="E63" i="1" s="1"/>
  <c r="U54" i="1"/>
  <c r="U124" i="1"/>
  <c r="H58" i="1"/>
  <c r="I30" i="1"/>
  <c r="U23" i="1"/>
  <c r="Q58" i="1"/>
  <c r="P60" i="1"/>
  <c r="U123" i="1"/>
  <c r="V116" i="1"/>
  <c r="V127" i="1" s="1"/>
  <c r="U92" i="1"/>
  <c r="T61" i="1"/>
  <c r="U99" i="1"/>
  <c r="U122" i="1"/>
  <c r="T59" i="1"/>
  <c r="U67" i="1"/>
  <c r="W58" i="1"/>
  <c r="X30" i="1"/>
  <c r="U24" i="1"/>
  <c r="U41" i="1"/>
  <c r="U19" i="1"/>
  <c r="O13" i="1"/>
  <c r="O11" i="1"/>
  <c r="O8" i="1"/>
  <c r="O6" i="1"/>
  <c r="O14" i="1"/>
  <c r="O9" i="1"/>
  <c r="O12" i="1"/>
  <c r="O7" i="1"/>
  <c r="M3" i="1"/>
  <c r="E126" i="1"/>
  <c r="E120" i="1"/>
  <c r="E110" i="1"/>
  <c r="E102" i="1"/>
  <c r="E94" i="1"/>
  <c r="E124" i="1"/>
  <c r="E122" i="1"/>
  <c r="E118" i="1"/>
  <c r="E105" i="1"/>
  <c r="E97" i="1"/>
  <c r="E74" i="1"/>
  <c r="E115" i="1"/>
  <c r="E108" i="1"/>
  <c r="E100" i="1"/>
  <c r="E77" i="1"/>
  <c r="E69" i="1"/>
  <c r="E111" i="1"/>
  <c r="E103" i="1"/>
  <c r="E95" i="1"/>
  <c r="E80" i="1"/>
  <c r="E72" i="1"/>
  <c r="E125" i="1"/>
  <c r="E121" i="1"/>
  <c r="E119" i="1"/>
  <c r="E113" i="1"/>
  <c r="E106" i="1"/>
  <c r="E98" i="1"/>
  <c r="E109" i="1"/>
  <c r="E101" i="1"/>
  <c r="E93" i="1"/>
  <c r="E78" i="1"/>
  <c r="E70" i="1"/>
  <c r="E104" i="1"/>
  <c r="E99" i="1"/>
  <c r="E64" i="1"/>
  <c r="E53" i="1"/>
  <c r="E114" i="1"/>
  <c r="E75" i="1"/>
  <c r="E71" i="1"/>
  <c r="E56" i="1"/>
  <c r="E48" i="1"/>
  <c r="E42" i="1"/>
  <c r="E51" i="1"/>
  <c r="E45" i="1"/>
  <c r="E117" i="1"/>
  <c r="E96" i="1"/>
  <c r="E76" i="1"/>
  <c r="E68" i="1"/>
  <c r="E62" i="1"/>
  <c r="E54" i="1"/>
  <c r="E46" i="1"/>
  <c r="E123" i="1"/>
  <c r="E67" i="1"/>
  <c r="E57" i="1"/>
  <c r="E49" i="1"/>
  <c r="E43" i="1"/>
  <c r="E37" i="1"/>
  <c r="E107" i="1"/>
  <c r="E52" i="1"/>
  <c r="E79" i="1"/>
  <c r="E55" i="1"/>
  <c r="E28" i="1"/>
  <c r="E20" i="1"/>
  <c r="E47" i="1"/>
  <c r="E23" i="1"/>
  <c r="E73" i="1"/>
  <c r="E34" i="1"/>
  <c r="E26" i="1"/>
  <c r="E18" i="1"/>
  <c r="E44" i="1"/>
  <c r="E36" i="1"/>
  <c r="E29" i="1"/>
  <c r="E21" i="1"/>
  <c r="E15" i="1"/>
  <c r="E22" i="1"/>
  <c r="E40" i="1"/>
  <c r="E24" i="1"/>
  <c r="E50" i="1"/>
  <c r="E35" i="1"/>
  <c r="D30" i="1"/>
  <c r="E27" i="1"/>
  <c r="E19" i="1"/>
  <c r="E38" i="1"/>
  <c r="E17" i="1"/>
  <c r="E33" i="1"/>
  <c r="E41" i="1"/>
  <c r="E25" i="1"/>
  <c r="S13" i="1"/>
  <c r="X12" i="1"/>
  <c r="S11" i="1"/>
  <c r="X9" i="1"/>
  <c r="S8" i="1"/>
  <c r="S14" i="1"/>
  <c r="X7" i="1"/>
  <c r="S6" i="1"/>
  <c r="X13" i="1"/>
  <c r="S12" i="1"/>
  <c r="X14" i="1"/>
  <c r="X6" i="1"/>
  <c r="X8" i="1"/>
  <c r="S7" i="1"/>
  <c r="S5" i="1"/>
  <c r="X11" i="1"/>
  <c r="S9" i="1"/>
  <c r="U47" i="1"/>
  <c r="K111" i="1"/>
  <c r="K103" i="1"/>
  <c r="K95" i="1"/>
  <c r="K125" i="1"/>
  <c r="K121" i="1"/>
  <c r="K119" i="1"/>
  <c r="K106" i="1"/>
  <c r="K98" i="1"/>
  <c r="K75" i="1"/>
  <c r="K109" i="1"/>
  <c r="K101" i="1"/>
  <c r="K93" i="1"/>
  <c r="K78" i="1"/>
  <c r="K70" i="1"/>
  <c r="K123" i="1"/>
  <c r="K117" i="1"/>
  <c r="K104" i="1"/>
  <c r="K96" i="1"/>
  <c r="K73" i="1"/>
  <c r="K114" i="1"/>
  <c r="K107" i="1"/>
  <c r="K99" i="1"/>
  <c r="K92" i="1"/>
  <c r="K126" i="1"/>
  <c r="K120" i="1"/>
  <c r="K110" i="1"/>
  <c r="K102" i="1"/>
  <c r="K94" i="1"/>
  <c r="K79" i="1"/>
  <c r="K71" i="1"/>
  <c r="K80" i="1"/>
  <c r="K62" i="1"/>
  <c r="K54" i="1"/>
  <c r="K40" i="1"/>
  <c r="K108" i="1"/>
  <c r="K76" i="1"/>
  <c r="K69" i="1"/>
  <c r="K68" i="1"/>
  <c r="K57" i="1"/>
  <c r="K49" i="1"/>
  <c r="K43" i="1"/>
  <c r="K37" i="1"/>
  <c r="K52" i="1"/>
  <c r="K77" i="1"/>
  <c r="K55" i="1"/>
  <c r="K47" i="1"/>
  <c r="K105" i="1"/>
  <c r="K100" i="1"/>
  <c r="K50" i="1"/>
  <c r="K44" i="1"/>
  <c r="K38" i="1"/>
  <c r="K115" i="1"/>
  <c r="K64" i="1"/>
  <c r="K53" i="1"/>
  <c r="K124" i="1"/>
  <c r="K56" i="1"/>
  <c r="K74" i="1"/>
  <c r="K29" i="1"/>
  <c r="K21" i="1"/>
  <c r="K51" i="1"/>
  <c r="K42" i="1"/>
  <c r="K36" i="1"/>
  <c r="K33" i="1"/>
  <c r="K24" i="1"/>
  <c r="K122" i="1"/>
  <c r="K118" i="1"/>
  <c r="K45" i="1"/>
  <c r="K27" i="1"/>
  <c r="K19" i="1"/>
  <c r="K97" i="1"/>
  <c r="K35" i="1"/>
  <c r="K22" i="1"/>
  <c r="K23" i="1"/>
  <c r="K25" i="1"/>
  <c r="K17" i="1"/>
  <c r="K72" i="1"/>
  <c r="K48" i="1"/>
  <c r="K28" i="1"/>
  <c r="K20" i="1"/>
  <c r="K15" i="1"/>
  <c r="K67" i="1"/>
  <c r="K41" i="1"/>
  <c r="K31" i="1"/>
  <c r="K34" i="1"/>
  <c r="K16" i="1"/>
  <c r="K26" i="1"/>
  <c r="K18" i="1"/>
  <c r="J30" i="1"/>
  <c r="L58" i="1"/>
  <c r="M30" i="1"/>
  <c r="O31" i="1"/>
  <c r="O5" i="1"/>
  <c r="V67" i="1"/>
  <c r="U126" i="1"/>
  <c r="U118" i="1"/>
  <c r="U105" i="1"/>
  <c r="U97" i="1"/>
  <c r="U115" i="1"/>
  <c r="U108" i="1"/>
  <c r="U100" i="1"/>
  <c r="U77" i="1"/>
  <c r="U111" i="1"/>
  <c r="U103" i="1"/>
  <c r="U80" i="1"/>
  <c r="U72" i="1"/>
  <c r="U125" i="1"/>
  <c r="U109" i="1"/>
  <c r="U101" i="1"/>
  <c r="U93" i="1"/>
  <c r="U64" i="1"/>
  <c r="U94" i="1"/>
  <c r="U71" i="1"/>
  <c r="U70" i="1"/>
  <c r="U57" i="1"/>
  <c r="U49" i="1"/>
  <c r="U110" i="1"/>
  <c r="U74" i="1"/>
  <c r="U120" i="1"/>
  <c r="U69" i="1"/>
  <c r="U53" i="1"/>
  <c r="U43" i="1"/>
  <c r="U37" i="1"/>
  <c r="U34" i="1"/>
  <c r="U26" i="1"/>
  <c r="U18" i="1"/>
  <c r="U44" i="1"/>
  <c r="U15" i="1"/>
  <c r="T30" i="1"/>
  <c r="U78" i="1"/>
  <c r="U28" i="1"/>
  <c r="U20" i="1"/>
  <c r="U102" i="1"/>
  <c r="U45" i="1"/>
  <c r="U79" i="1"/>
  <c r="U73" i="1"/>
  <c r="U75" i="1"/>
  <c r="U104" i="1"/>
  <c r="U39" i="1"/>
  <c r="U22" i="1"/>
  <c r="U42" i="1"/>
  <c r="K12" i="1"/>
  <c r="K9" i="1"/>
  <c r="K7" i="1"/>
  <c r="K13" i="1"/>
  <c r="K11" i="1"/>
  <c r="K6" i="1"/>
  <c r="K8" i="1"/>
  <c r="K5" i="1"/>
  <c r="K14" i="1"/>
  <c r="U16" i="1"/>
  <c r="U85" i="1"/>
  <c r="U86" i="1"/>
  <c r="U82" i="1"/>
  <c r="U90" i="1"/>
  <c r="G14" i="1"/>
  <c r="G12" i="1"/>
  <c r="G9" i="1"/>
  <c r="G7" i="1"/>
  <c r="G13" i="1"/>
  <c r="G6" i="1"/>
  <c r="G11" i="1"/>
  <c r="G8" i="1"/>
  <c r="V82" i="1"/>
  <c r="V4" i="1"/>
  <c r="U46" i="1"/>
  <c r="U89" i="1"/>
  <c r="K127" i="1"/>
  <c r="J63" i="1"/>
  <c r="K63" i="1" s="1"/>
  <c r="U114" i="1"/>
  <c r="V39" i="1"/>
  <c r="V31" i="1" s="1"/>
  <c r="U76" i="1"/>
  <c r="U52" i="1"/>
  <c r="F58" i="1"/>
  <c r="G30" i="1"/>
  <c r="U35" i="1"/>
  <c r="V16" i="1"/>
  <c r="K10" i="1"/>
  <c r="K3" i="1" l="1"/>
  <c r="O3" i="1"/>
  <c r="S3" i="1"/>
  <c r="G3" i="1"/>
  <c r="R60" i="1"/>
  <c r="S58" i="1"/>
  <c r="X58" i="1"/>
  <c r="W60" i="1"/>
  <c r="L60" i="1"/>
  <c r="M58" i="1"/>
  <c r="Q60" i="1"/>
  <c r="P65" i="1"/>
  <c r="Q65" i="1" s="1"/>
  <c r="T58" i="1"/>
  <c r="U30" i="1"/>
  <c r="J58" i="1"/>
  <c r="K30" i="1"/>
  <c r="V59" i="1"/>
  <c r="U59" i="1"/>
  <c r="D58" i="1"/>
  <c r="E30" i="1"/>
  <c r="U127" i="1"/>
  <c r="T63" i="1"/>
  <c r="B60" i="1"/>
  <c r="C58" i="1"/>
  <c r="G58" i="1"/>
  <c r="F60" i="1"/>
  <c r="V3" i="1"/>
  <c r="V15" i="1"/>
  <c r="V30" i="1" s="1"/>
  <c r="V58" i="1" s="1"/>
  <c r="V60" i="1" s="1"/>
  <c r="U61" i="1"/>
  <c r="V61" i="1"/>
  <c r="I58" i="1"/>
  <c r="H60" i="1"/>
  <c r="N58" i="1"/>
  <c r="O30" i="1"/>
  <c r="V63" i="1" l="1"/>
  <c r="V65" i="1" s="1"/>
  <c r="U63" i="1"/>
  <c r="T60" i="1"/>
  <c r="U58" i="1"/>
  <c r="D60" i="1"/>
  <c r="E58" i="1"/>
  <c r="O58" i="1"/>
  <c r="N60" i="1"/>
  <c r="L65" i="1"/>
  <c r="M65" i="1" s="1"/>
  <c r="M60" i="1"/>
  <c r="S60" i="1"/>
  <c r="R65" i="1"/>
  <c r="S65" i="1" s="1"/>
  <c r="W65" i="1"/>
  <c r="X65" i="1" s="1"/>
  <c r="X60" i="1"/>
  <c r="F65" i="1"/>
  <c r="G65" i="1" s="1"/>
  <c r="G60" i="1"/>
  <c r="I60" i="1"/>
  <c r="H65" i="1"/>
  <c r="I65" i="1" s="1"/>
  <c r="C60" i="1"/>
  <c r="B65" i="1"/>
  <c r="C65" i="1" s="1"/>
  <c r="J60" i="1"/>
  <c r="K58" i="1"/>
  <c r="N65" i="1" l="1"/>
  <c r="O65" i="1" s="1"/>
  <c r="O60" i="1"/>
  <c r="D65" i="1"/>
  <c r="E65" i="1" s="1"/>
  <c r="E60" i="1"/>
  <c r="T65" i="1"/>
  <c r="U65" i="1" s="1"/>
  <c r="U60" i="1"/>
  <c r="K60" i="1"/>
  <c r="J65" i="1"/>
  <c r="K65" i="1" s="1"/>
</calcChain>
</file>

<file path=xl/sharedStrings.xml><?xml version="1.0" encoding="utf-8"?>
<sst xmlns="http://schemas.openxmlformats.org/spreadsheetml/2006/main" count="135" uniqueCount="120">
  <si>
    <t>Company Level PNL 2025-26</t>
  </si>
  <si>
    <t>Projection</t>
  </si>
  <si>
    <t>Particulars</t>
  </si>
  <si>
    <t>%</t>
  </si>
  <si>
    <t>Jan-Dec Vat</t>
  </si>
  <si>
    <t>Gross Sales (Without GST)</t>
  </si>
  <si>
    <t>Pizza Wings %</t>
  </si>
  <si>
    <t>Aggregator Sales %</t>
  </si>
  <si>
    <t>Aggregator Cancellation Refund</t>
  </si>
  <si>
    <t>BKD (New Brand) Sales</t>
  </si>
  <si>
    <t>Aggregator Cancellation Refund (BKD)</t>
  </si>
  <si>
    <t>(-) Cancellations, Remake &amp; Void</t>
  </si>
  <si>
    <t>(-) Discounts</t>
  </si>
  <si>
    <t>Discount 12 Minutes</t>
  </si>
  <si>
    <t>Discount 25 Minutes</t>
  </si>
  <si>
    <t>Volume Rebate</t>
  </si>
  <si>
    <t>MGR Discount</t>
  </si>
  <si>
    <t>Net Sales (PW)</t>
  </si>
  <si>
    <t>(-) COGS</t>
  </si>
  <si>
    <t>Beverage</t>
  </si>
  <si>
    <t>Can Item</t>
  </si>
  <si>
    <t>Cheese</t>
  </si>
  <si>
    <t>Dough &amp; Related Materials</t>
  </si>
  <si>
    <t>Dessert</t>
  </si>
  <si>
    <t>Vegetable</t>
  </si>
  <si>
    <t>Sauce</t>
  </si>
  <si>
    <t>Seasoning</t>
  </si>
  <si>
    <t>Marination Pouch</t>
  </si>
  <si>
    <t>Dips</t>
  </si>
  <si>
    <t>Non-Veg Item</t>
  </si>
  <si>
    <t>Other Items</t>
  </si>
  <si>
    <t>Packaging Materials</t>
  </si>
  <si>
    <t>Gross Profit</t>
  </si>
  <si>
    <t>Operating Expenses</t>
  </si>
  <si>
    <t>Personnel Costs</t>
  </si>
  <si>
    <t>Store salary</t>
  </si>
  <si>
    <t>Staff Incentives</t>
  </si>
  <si>
    <t>Store Staff Welfare</t>
  </si>
  <si>
    <t>Rent</t>
  </si>
  <si>
    <t>Aggregator Commission</t>
  </si>
  <si>
    <t>Utilities &amp; Maintenance</t>
  </si>
  <si>
    <t>Diesel</t>
  </si>
  <si>
    <t>Petrol</t>
  </si>
  <si>
    <t>Electricity</t>
  </si>
  <si>
    <t>LPG</t>
  </si>
  <si>
    <t>Cleaning Items</t>
  </si>
  <si>
    <t>Printing &amp; Stationery</t>
  </si>
  <si>
    <t>Store General &amp; Administrative</t>
  </si>
  <si>
    <t>Local Conveniance</t>
  </si>
  <si>
    <t>licence fee</t>
  </si>
  <si>
    <t>R&amp;D / Trial Bills</t>
  </si>
  <si>
    <t>Communication Expenses</t>
  </si>
  <si>
    <t>Pest control</t>
  </si>
  <si>
    <t>Store General Maintanance</t>
  </si>
  <si>
    <t>Uniform</t>
  </si>
  <si>
    <t>Miscellaneous expenses</t>
  </si>
  <si>
    <t>Delivery Partner Cost</t>
  </si>
  <si>
    <t>Bike Maintanance</t>
  </si>
  <si>
    <t>Other Expenses</t>
  </si>
  <si>
    <t>Store Level EBITDA  (Before Marketing)</t>
  </si>
  <si>
    <t>Marketing</t>
  </si>
  <si>
    <t xml:space="preserve">Store Level EBITDA </t>
  </si>
  <si>
    <t>Corporate &amp; Administration Exp.</t>
  </si>
  <si>
    <t>Brand Building Exp</t>
  </si>
  <si>
    <t>One Time Charges</t>
  </si>
  <si>
    <t>New Brand EBITDA</t>
  </si>
  <si>
    <t>Company Level EBITDA</t>
  </si>
  <si>
    <t>(-) Marketing</t>
  </si>
  <si>
    <t>Insert</t>
  </si>
  <si>
    <t>Dh exp</t>
  </si>
  <si>
    <t>Rikshaw &amp;auto banner</t>
  </si>
  <si>
    <t>Facebook exp</t>
  </si>
  <si>
    <t>Insta exp.</t>
  </si>
  <si>
    <t>Sms</t>
  </si>
  <si>
    <t>Google add</t>
  </si>
  <si>
    <t>Theater add</t>
  </si>
  <si>
    <t>Swiggy Add</t>
  </si>
  <si>
    <t>Zomato Add</t>
  </si>
  <si>
    <t>Radio FM</t>
  </si>
  <si>
    <t>MENU Pamphlet</t>
  </si>
  <si>
    <t>Other Marketing expenses</t>
  </si>
  <si>
    <t>Revenue Analysis (Gross)</t>
  </si>
  <si>
    <t>PW_Sales</t>
  </si>
  <si>
    <t>APP_Sales</t>
  </si>
  <si>
    <t>Dotpe</t>
  </si>
  <si>
    <t>ONDC</t>
  </si>
  <si>
    <t>MagicPin_Sales</t>
  </si>
  <si>
    <t>Swiggy_Sales</t>
  </si>
  <si>
    <t>Zomato_Sales</t>
  </si>
  <si>
    <t>(-) Corporate GnA</t>
  </si>
  <si>
    <t>Consultancy Charges</t>
  </si>
  <si>
    <t>Repairs Others</t>
  </si>
  <si>
    <t>Diesel Expenses</t>
  </si>
  <si>
    <t>Bank &amp; EDC Machine Charges</t>
  </si>
  <si>
    <t>Loading and Unloading</t>
  </si>
  <si>
    <t>Warehouse Expenses</t>
  </si>
  <si>
    <t>Logistices</t>
  </si>
  <si>
    <t>Misc Exoenses</t>
  </si>
  <si>
    <t>National Marketing</t>
  </si>
  <si>
    <t>Office Rent</t>
  </si>
  <si>
    <t>Salary (Corporate)</t>
  </si>
  <si>
    <t>StaffWelfare</t>
  </si>
  <si>
    <t>Subscription</t>
  </si>
  <si>
    <t>Technology Costs</t>
  </si>
  <si>
    <t>Travelling Expenses</t>
  </si>
  <si>
    <t>Interest</t>
  </si>
  <si>
    <t>Interest on CC Limit</t>
  </si>
  <si>
    <t>FD Interest Income</t>
  </si>
  <si>
    <t>BIRK Items Discard</t>
  </si>
  <si>
    <t>Mall Road Kanpur</t>
  </si>
  <si>
    <t>CAC on Zomato</t>
  </si>
  <si>
    <t>Store Team Incentives</t>
  </si>
  <si>
    <t>Diwali Gift</t>
  </si>
  <si>
    <t>Medical - Accident Case</t>
  </si>
  <si>
    <t>Kidwai Nagar Kanpur</t>
  </si>
  <si>
    <t>Saraba Nagar Ludhiana</t>
  </si>
  <si>
    <t>Jail Road Delhi</t>
  </si>
  <si>
    <t>Bhoothnath Lucknow</t>
  </si>
  <si>
    <t>Total One Time</t>
  </si>
  <si>
    <t>End of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</si>
</sst>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409]mmm/yy;@"/>
    <numFmt numFmtId="165" formatCode="_ * #,##0_ ;_ * \-#,##0_ ;_ * &quot;-&quot;??_ ;_ @_ "/>
    <numFmt numFmtId="166" formatCode="0.0%"/>
  </numFmts>
  <fonts count="13" x14ac:knownFonts="1"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ajor"/>
    </font>
    <font>
      <b/>
      <sz val="12"/>
      <color theme="1"/>
      <name val="Arial"/>
      <family val="2"/>
    </font>
    <font>
      <b/>
      <sz val="11"/>
      <color theme="1"/>
      <name val="Arial"/>
      <family val="2"/>
      <scheme val="major"/>
    </font>
    <font>
      <sz val="11"/>
      <color theme="1"/>
      <name val="Arial"/>
      <family val="2"/>
      <scheme val="major"/>
    </font>
    <font>
      <b/>
      <sz val="11"/>
      <color theme="0"/>
      <name val="Arial"/>
      <family val="2"/>
      <scheme val="major"/>
    </font>
    <font>
      <b/>
      <sz val="10"/>
      <color rgb="FF000000"/>
      <name val="Arial"/>
      <family val="2"/>
      <scheme val="major"/>
    </font>
    <font>
      <i/>
      <sz val="10"/>
      <color rgb="FF000000"/>
      <name val="Arial"/>
      <family val="2"/>
      <scheme val="major"/>
    </font>
    <font>
      <b/>
      <sz val="10"/>
      <color theme="0"/>
      <name val="Arial"/>
      <family val="2"/>
      <scheme val="major"/>
    </font>
  </fonts>
  <fills count="2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0" tint="-0.14999847407452621"/>
        <bgColor rgb="FF00FF00"/>
      </patternFill>
    </fill>
    <fill>
      <patternFill patternType="solid">
        <fgColor rgb="FF92D050"/>
        <bgColor rgb="FF00FF00"/>
      </patternFill>
    </fill>
    <fill>
      <patternFill patternType="solid">
        <fgColor theme="5" tint="0.59999389629810485"/>
        <bgColor rgb="FF00FF00"/>
      </patternFill>
    </fill>
    <fill>
      <patternFill patternType="solid">
        <fgColor theme="6" tint="0.79998168889431442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7" tint="0.59999389629810485"/>
        <bgColor rgb="FF6D9EEB"/>
      </patternFill>
    </fill>
    <fill>
      <patternFill patternType="solid">
        <fgColor theme="7" tint="0.39997558519241921"/>
        <bgColor rgb="FF6D9EEB"/>
      </patternFill>
    </fill>
    <fill>
      <patternFill patternType="solid">
        <fgColor theme="5" tint="0.79998168889431442"/>
        <bgColor rgb="FF6D9EEB"/>
      </patternFill>
    </fill>
    <fill>
      <patternFill patternType="solid">
        <fgColor theme="8" tint="0.79998168889431442"/>
        <bgColor rgb="FF6D9EEB"/>
      </patternFill>
    </fill>
    <fill>
      <patternFill patternType="solid">
        <fgColor theme="5" tint="0.59999389629810485"/>
        <bgColor rgb="FF6D9EEB"/>
      </patternFill>
    </fill>
    <fill>
      <patternFill patternType="solid">
        <fgColor theme="5"/>
        <bgColor rgb="FF6D9EEB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4" fillId="2" borderId="1" xfId="1" applyFont="1" applyFill="1" applyBorder="1" applyAlignment="1">
      <alignment horizontal="center"/>
    </xf>
    <xf numFmtId="0" fontId="5" fillId="3" borderId="2" xfId="1" applyFont="1" applyFill="1" applyBorder="1"/>
    <xf numFmtId="164" fontId="6" fillId="4" borderId="2" xfId="1" applyNumberFormat="1" applyFont="1" applyFill="1" applyBorder="1" applyAlignment="1">
      <alignment horizontal="center"/>
    </xf>
    <xf numFmtId="164" fontId="6" fillId="5" borderId="2" xfId="1" applyNumberFormat="1" applyFont="1" applyFill="1" applyBorder="1" applyAlignment="1">
      <alignment horizontal="center"/>
    </xf>
    <xf numFmtId="164" fontId="6" fillId="6" borderId="2" xfId="1" applyNumberFormat="1" applyFont="1" applyFill="1" applyBorder="1" applyAlignment="1">
      <alignment horizontal="center"/>
    </xf>
    <xf numFmtId="164" fontId="6" fillId="7" borderId="2" xfId="1" applyNumberFormat="1" applyFont="1" applyFill="1" applyBorder="1" applyAlignment="1">
      <alignment horizontal="center"/>
    </xf>
    <xf numFmtId="4" fontId="7" fillId="8" borderId="2" xfId="1" applyNumberFormat="1" applyFont="1" applyFill="1" applyBorder="1"/>
    <xf numFmtId="165" fontId="7" fillId="8" borderId="2" xfId="2" applyNumberFormat="1" applyFont="1" applyFill="1" applyBorder="1" applyAlignment="1">
      <alignment horizontal="right"/>
    </xf>
    <xf numFmtId="166" fontId="7" fillId="8" borderId="2" xfId="3" applyNumberFormat="1" applyFont="1" applyFill="1" applyBorder="1" applyAlignment="1">
      <alignment horizontal="right"/>
    </xf>
    <xf numFmtId="165" fontId="7" fillId="8" borderId="2" xfId="3" applyNumberFormat="1" applyFont="1" applyFill="1" applyBorder="1" applyAlignment="1">
      <alignment horizontal="right"/>
    </xf>
    <xf numFmtId="4" fontId="8" fillId="0" borderId="2" xfId="1" applyNumberFormat="1" applyFont="1" applyBorder="1"/>
    <xf numFmtId="165" fontId="8" fillId="0" borderId="2" xfId="2" applyNumberFormat="1" applyFont="1" applyBorder="1" applyAlignment="1">
      <alignment horizontal="right"/>
    </xf>
    <xf numFmtId="166" fontId="8" fillId="0" borderId="2" xfId="3" applyNumberFormat="1" applyFont="1" applyBorder="1" applyAlignment="1">
      <alignment horizontal="right"/>
    </xf>
    <xf numFmtId="165" fontId="8" fillId="0" borderId="2" xfId="3" applyNumberFormat="1" applyFont="1" applyBorder="1" applyAlignment="1">
      <alignment horizontal="right"/>
    </xf>
    <xf numFmtId="4" fontId="8" fillId="2" borderId="2" xfId="1" applyNumberFormat="1" applyFont="1" applyFill="1" applyBorder="1"/>
    <xf numFmtId="165" fontId="8" fillId="2" borderId="2" xfId="2" applyNumberFormat="1" applyFont="1" applyFill="1" applyBorder="1" applyAlignment="1">
      <alignment horizontal="right"/>
    </xf>
    <xf numFmtId="166" fontId="8" fillId="2" borderId="2" xfId="3" applyNumberFormat="1" applyFont="1" applyFill="1" applyBorder="1" applyAlignment="1">
      <alignment horizontal="right"/>
    </xf>
    <xf numFmtId="165" fontId="8" fillId="2" borderId="2" xfId="3" applyNumberFormat="1" applyFont="1" applyFill="1" applyBorder="1" applyAlignment="1">
      <alignment horizontal="right"/>
    </xf>
    <xf numFmtId="165" fontId="8" fillId="2" borderId="2" xfId="2" applyNumberFormat="1" applyFont="1" applyFill="1" applyBorder="1"/>
    <xf numFmtId="4" fontId="7" fillId="9" borderId="2" xfId="1" applyNumberFormat="1" applyFont="1" applyFill="1" applyBorder="1"/>
    <xf numFmtId="165" fontId="7" fillId="9" borderId="2" xfId="2" applyNumberFormat="1" applyFont="1" applyFill="1" applyBorder="1" applyAlignment="1">
      <alignment horizontal="right"/>
    </xf>
    <xf numFmtId="166" fontId="7" fillId="9" borderId="2" xfId="3" applyNumberFormat="1" applyFont="1" applyFill="1" applyBorder="1" applyAlignment="1">
      <alignment horizontal="right"/>
    </xf>
    <xf numFmtId="165" fontId="7" fillId="9" borderId="2" xfId="3" applyNumberFormat="1" applyFont="1" applyFill="1" applyBorder="1" applyAlignment="1">
      <alignment horizontal="right"/>
    </xf>
    <xf numFmtId="4" fontId="7" fillId="10" borderId="2" xfId="1" applyNumberFormat="1" applyFont="1" applyFill="1" applyBorder="1"/>
    <xf numFmtId="165" fontId="7" fillId="10" borderId="2" xfId="2" applyNumberFormat="1" applyFont="1" applyFill="1" applyBorder="1" applyAlignment="1">
      <alignment horizontal="right"/>
    </xf>
    <xf numFmtId="166" fontId="7" fillId="10" borderId="2" xfId="3" applyNumberFormat="1" applyFont="1" applyFill="1" applyBorder="1" applyAlignment="1">
      <alignment horizontal="right"/>
    </xf>
    <xf numFmtId="165" fontId="7" fillId="10" borderId="2" xfId="3" applyNumberFormat="1" applyFont="1" applyFill="1" applyBorder="1" applyAlignment="1">
      <alignment horizontal="right"/>
    </xf>
    <xf numFmtId="4" fontId="7" fillId="11" borderId="2" xfId="1" applyNumberFormat="1" applyFont="1" applyFill="1" applyBorder="1"/>
    <xf numFmtId="165" fontId="7" fillId="11" borderId="2" xfId="2" applyNumberFormat="1" applyFont="1" applyFill="1" applyBorder="1" applyAlignment="1">
      <alignment horizontal="right"/>
    </xf>
    <xf numFmtId="166" fontId="7" fillId="11" borderId="2" xfId="3" applyNumberFormat="1" applyFont="1" applyFill="1" applyBorder="1" applyAlignment="1">
      <alignment horizontal="right"/>
    </xf>
    <xf numFmtId="165" fontId="7" fillId="11" borderId="2" xfId="3" applyNumberFormat="1" applyFont="1" applyFill="1" applyBorder="1" applyAlignment="1">
      <alignment horizontal="right"/>
    </xf>
    <xf numFmtId="4" fontId="7" fillId="12" borderId="2" xfId="1" applyNumberFormat="1" applyFont="1" applyFill="1" applyBorder="1"/>
    <xf numFmtId="165" fontId="7" fillId="12" borderId="2" xfId="2" applyNumberFormat="1" applyFont="1" applyFill="1" applyBorder="1" applyAlignment="1">
      <alignment horizontal="right"/>
    </xf>
    <xf numFmtId="166" fontId="7" fillId="12" borderId="2" xfId="3" applyNumberFormat="1" applyFont="1" applyFill="1" applyBorder="1" applyAlignment="1">
      <alignment horizontal="right"/>
    </xf>
    <xf numFmtId="165" fontId="7" fillId="12" borderId="2" xfId="3" applyNumberFormat="1" applyFont="1" applyFill="1" applyBorder="1" applyAlignment="1">
      <alignment horizontal="right"/>
    </xf>
    <xf numFmtId="165" fontId="8" fillId="0" borderId="2" xfId="2" applyNumberFormat="1" applyFont="1" applyBorder="1"/>
    <xf numFmtId="166" fontId="8" fillId="0" borderId="2" xfId="3" applyNumberFormat="1" applyFont="1" applyBorder="1"/>
    <xf numFmtId="165" fontId="8" fillId="0" borderId="2" xfId="3" applyNumberFormat="1" applyFont="1" applyBorder="1"/>
    <xf numFmtId="4" fontId="8" fillId="13" borderId="2" xfId="1" applyNumberFormat="1" applyFont="1" applyFill="1" applyBorder="1"/>
    <xf numFmtId="165" fontId="8" fillId="13" borderId="2" xfId="2" applyNumberFormat="1" applyFont="1" applyFill="1" applyBorder="1" applyAlignment="1">
      <alignment horizontal="right"/>
    </xf>
    <xf numFmtId="166" fontId="8" fillId="13" borderId="2" xfId="3" applyNumberFormat="1" applyFont="1" applyFill="1" applyBorder="1" applyAlignment="1">
      <alignment horizontal="right"/>
    </xf>
    <xf numFmtId="165" fontId="8" fillId="13" borderId="2" xfId="3" applyNumberFormat="1" applyFont="1" applyFill="1" applyBorder="1" applyAlignment="1">
      <alignment horizontal="right"/>
    </xf>
    <xf numFmtId="4" fontId="8" fillId="14" borderId="2" xfId="1" applyNumberFormat="1" applyFont="1" applyFill="1" applyBorder="1"/>
    <xf numFmtId="165" fontId="8" fillId="14" borderId="2" xfId="2" applyNumberFormat="1" applyFont="1" applyFill="1" applyBorder="1" applyAlignment="1">
      <alignment horizontal="right"/>
    </xf>
    <xf numFmtId="166" fontId="8" fillId="14" borderId="2" xfId="3" applyNumberFormat="1" applyFont="1" applyFill="1" applyBorder="1" applyAlignment="1">
      <alignment horizontal="right"/>
    </xf>
    <xf numFmtId="165" fontId="8" fillId="14" borderId="2" xfId="3" applyNumberFormat="1" applyFont="1" applyFill="1" applyBorder="1" applyAlignment="1">
      <alignment horizontal="right"/>
    </xf>
    <xf numFmtId="4" fontId="7" fillId="15" borderId="2" xfId="1" applyNumberFormat="1" applyFont="1" applyFill="1" applyBorder="1"/>
    <xf numFmtId="165" fontId="7" fillId="15" borderId="2" xfId="2" applyNumberFormat="1" applyFont="1" applyFill="1" applyBorder="1" applyAlignment="1">
      <alignment horizontal="right"/>
    </xf>
    <xf numFmtId="166" fontId="7" fillId="15" borderId="2" xfId="3" applyNumberFormat="1" applyFont="1" applyFill="1" applyBorder="1" applyAlignment="1">
      <alignment horizontal="right"/>
    </xf>
    <xf numFmtId="165" fontId="7" fillId="15" borderId="2" xfId="3" applyNumberFormat="1" applyFont="1" applyFill="1" applyBorder="1" applyAlignment="1">
      <alignment horizontal="right"/>
    </xf>
    <xf numFmtId="4" fontId="7" fillId="16" borderId="2" xfId="1" applyNumberFormat="1" applyFont="1" applyFill="1" applyBorder="1"/>
    <xf numFmtId="165" fontId="7" fillId="16" borderId="2" xfId="2" applyNumberFormat="1" applyFont="1" applyFill="1" applyBorder="1" applyAlignment="1">
      <alignment horizontal="right"/>
    </xf>
    <xf numFmtId="166" fontId="7" fillId="16" borderId="2" xfId="3" applyNumberFormat="1" applyFont="1" applyFill="1" applyBorder="1" applyAlignment="1">
      <alignment horizontal="right"/>
    </xf>
    <xf numFmtId="165" fontId="7" fillId="16" borderId="2" xfId="3" applyNumberFormat="1" applyFont="1" applyFill="1" applyBorder="1" applyAlignment="1">
      <alignment horizontal="right"/>
    </xf>
    <xf numFmtId="4" fontId="7" fillId="17" borderId="2" xfId="1" applyNumberFormat="1" applyFont="1" applyFill="1" applyBorder="1"/>
    <xf numFmtId="165" fontId="7" fillId="17" borderId="2" xfId="2" applyNumberFormat="1" applyFont="1" applyFill="1" applyBorder="1" applyAlignment="1">
      <alignment horizontal="right"/>
    </xf>
    <xf numFmtId="166" fontId="7" fillId="17" borderId="2" xfId="3" applyNumberFormat="1" applyFont="1" applyFill="1" applyBorder="1" applyAlignment="1">
      <alignment horizontal="right"/>
    </xf>
    <xf numFmtId="165" fontId="7" fillId="17" borderId="2" xfId="3" applyNumberFormat="1" applyFont="1" applyFill="1" applyBorder="1" applyAlignment="1">
      <alignment horizontal="right"/>
    </xf>
    <xf numFmtId="4" fontId="7" fillId="18" borderId="2" xfId="1" applyNumberFormat="1" applyFont="1" applyFill="1" applyBorder="1"/>
    <xf numFmtId="165" fontId="7" fillId="18" borderId="2" xfId="2" applyNumberFormat="1" applyFont="1" applyFill="1" applyBorder="1" applyAlignment="1">
      <alignment horizontal="right"/>
    </xf>
    <xf numFmtId="166" fontId="7" fillId="18" borderId="2" xfId="3" applyNumberFormat="1" applyFont="1" applyFill="1" applyBorder="1" applyAlignment="1">
      <alignment horizontal="right"/>
    </xf>
    <xf numFmtId="165" fontId="7" fillId="18" borderId="2" xfId="3" applyNumberFormat="1" applyFont="1" applyFill="1" applyBorder="1" applyAlignment="1">
      <alignment horizontal="right"/>
    </xf>
    <xf numFmtId="4" fontId="7" fillId="19" borderId="2" xfId="1" applyNumberFormat="1" applyFont="1" applyFill="1" applyBorder="1"/>
    <xf numFmtId="165" fontId="7" fillId="19" borderId="2" xfId="2" applyNumberFormat="1" applyFont="1" applyFill="1" applyBorder="1" applyAlignment="1">
      <alignment horizontal="right"/>
    </xf>
    <xf numFmtId="166" fontId="7" fillId="19" borderId="2" xfId="3" applyNumberFormat="1" applyFont="1" applyFill="1" applyBorder="1" applyAlignment="1">
      <alignment horizontal="right"/>
    </xf>
    <xf numFmtId="165" fontId="7" fillId="19" borderId="2" xfId="3" applyNumberFormat="1" applyFont="1" applyFill="1" applyBorder="1" applyAlignment="1">
      <alignment horizontal="right"/>
    </xf>
    <xf numFmtId="4" fontId="9" fillId="20" borderId="2" xfId="1" applyNumberFormat="1" applyFont="1" applyFill="1" applyBorder="1"/>
    <xf numFmtId="165" fontId="9" fillId="20" borderId="2" xfId="2" applyNumberFormat="1" applyFont="1" applyFill="1" applyBorder="1" applyAlignment="1">
      <alignment horizontal="right"/>
    </xf>
    <xf numFmtId="166" fontId="9" fillId="20" borderId="2" xfId="3" applyNumberFormat="1" applyFont="1" applyFill="1" applyBorder="1" applyAlignment="1">
      <alignment horizontal="right"/>
    </xf>
    <xf numFmtId="165" fontId="9" fillId="20" borderId="2" xfId="3" applyNumberFormat="1" applyFont="1" applyFill="1" applyBorder="1" applyAlignment="1">
      <alignment horizontal="right"/>
    </xf>
    <xf numFmtId="4" fontId="8" fillId="0" borderId="0" xfId="1" applyNumberFormat="1" applyFont="1"/>
    <xf numFmtId="165" fontId="8" fillId="0" borderId="0" xfId="2" applyNumberFormat="1" applyFont="1"/>
    <xf numFmtId="166" fontId="8" fillId="0" borderId="0" xfId="3" applyNumberFormat="1" applyFont="1"/>
    <xf numFmtId="165" fontId="8" fillId="0" borderId="0" xfId="3" applyNumberFormat="1" applyFont="1"/>
    <xf numFmtId="4" fontId="7" fillId="8" borderId="0" xfId="1" applyNumberFormat="1" applyFont="1" applyFill="1"/>
    <xf numFmtId="165" fontId="7" fillId="8" borderId="0" xfId="2" applyNumberFormat="1" applyFont="1" applyFill="1" applyAlignment="1">
      <alignment horizontal="right"/>
    </xf>
    <xf numFmtId="166" fontId="7" fillId="8" borderId="0" xfId="3" applyNumberFormat="1" applyFont="1" applyFill="1" applyAlignment="1">
      <alignment horizontal="right"/>
    </xf>
    <xf numFmtId="165" fontId="7" fillId="8" borderId="0" xfId="3" applyNumberFormat="1" applyFont="1" applyFill="1" applyAlignment="1">
      <alignment horizontal="right"/>
    </xf>
    <xf numFmtId="165" fontId="8" fillId="0" borderId="0" xfId="2" applyNumberFormat="1" applyFont="1" applyAlignment="1">
      <alignment horizontal="right"/>
    </xf>
    <xf numFmtId="166" fontId="8" fillId="0" borderId="0" xfId="3" applyNumberFormat="1" applyFont="1" applyAlignment="1">
      <alignment horizontal="right"/>
    </xf>
    <xf numFmtId="165" fontId="8" fillId="0" borderId="0" xfId="3" applyNumberFormat="1" applyFont="1" applyAlignment="1">
      <alignment horizontal="right"/>
    </xf>
    <xf numFmtId="4" fontId="7" fillId="10" borderId="0" xfId="1" applyNumberFormat="1" applyFont="1" applyFill="1"/>
    <xf numFmtId="165" fontId="7" fillId="10" borderId="0" xfId="2" applyNumberFormat="1" applyFont="1" applyFill="1" applyAlignment="1">
      <alignment horizontal="right"/>
    </xf>
    <xf numFmtId="166" fontId="7" fillId="10" borderId="0" xfId="3" applyNumberFormat="1" applyFont="1" applyFill="1" applyAlignment="1">
      <alignment horizontal="right"/>
    </xf>
    <xf numFmtId="166" fontId="3" fillId="0" borderId="0" xfId="3" applyNumberFormat="1" applyFont="1"/>
    <xf numFmtId="166" fontId="0" fillId="0" borderId="0" xfId="3" applyNumberFormat="1" applyFont="1"/>
    <xf numFmtId="165" fontId="0" fillId="0" borderId="0" xfId="2" applyNumberFormat="1" applyFont="1"/>
    <xf numFmtId="4" fontId="7" fillId="21" borderId="0" xfId="1" applyNumberFormat="1" applyFont="1" applyFill="1"/>
    <xf numFmtId="165" fontId="7" fillId="21" borderId="0" xfId="2" applyNumberFormat="1" applyFont="1" applyFill="1" applyAlignment="1">
      <alignment horizontal="right"/>
    </xf>
    <xf numFmtId="166" fontId="7" fillId="21" borderId="0" xfId="3" applyNumberFormat="1" applyFont="1" applyFill="1" applyAlignment="1">
      <alignment horizontal="right"/>
    </xf>
    <xf numFmtId="0" fontId="10" fillId="22" borderId="0" xfId="1" applyFont="1" applyFill="1"/>
    <xf numFmtId="165" fontId="7" fillId="22" borderId="0" xfId="2" applyNumberFormat="1" applyFont="1" applyFill="1" applyAlignment="1">
      <alignment horizontal="right"/>
    </xf>
    <xf numFmtId="166" fontId="3" fillId="22" borderId="0" xfId="3" applyNumberFormat="1" applyFont="1" applyFill="1"/>
    <xf numFmtId="166" fontId="0" fillId="22" borderId="0" xfId="3" applyNumberFormat="1" applyFont="1" applyFill="1"/>
    <xf numFmtId="165" fontId="0" fillId="22" borderId="0" xfId="2" applyNumberFormat="1" applyFont="1" applyFill="1"/>
    <xf numFmtId="0" fontId="11" fillId="0" borderId="0" xfId="1" applyFont="1"/>
    <xf numFmtId="165" fontId="3" fillId="0" borderId="0" xfId="2" applyNumberFormat="1" applyFont="1"/>
    <xf numFmtId="0" fontId="10" fillId="23" borderId="0" xfId="1" applyFont="1" applyFill="1"/>
    <xf numFmtId="165" fontId="7" fillId="23" borderId="0" xfId="2" applyNumberFormat="1" applyFont="1" applyFill="1" applyAlignment="1">
      <alignment horizontal="right"/>
    </xf>
    <xf numFmtId="166" fontId="10" fillId="23" borderId="0" xfId="3" applyNumberFormat="1" applyFont="1" applyFill="1"/>
    <xf numFmtId="166" fontId="4" fillId="23" borderId="0" xfId="3" applyNumberFormat="1" applyFont="1" applyFill="1"/>
    <xf numFmtId="165" fontId="4" fillId="23" borderId="0" xfId="2" applyNumberFormat="1" applyFont="1" applyFill="1"/>
    <xf numFmtId="0" fontId="4" fillId="0" borderId="0" xfId="1" applyFont="1"/>
    <xf numFmtId="165" fontId="8" fillId="24" borderId="0" xfId="2" applyNumberFormat="1" applyFont="1" applyFill="1" applyAlignment="1">
      <alignment horizontal="right"/>
    </xf>
    <xf numFmtId="0" fontId="10" fillId="25" borderId="0" xfId="1" applyFont="1" applyFill="1"/>
    <xf numFmtId="165" fontId="10" fillId="25" borderId="3" xfId="2" applyNumberFormat="1" applyFont="1" applyFill="1" applyBorder="1"/>
    <xf numFmtId="166" fontId="10" fillId="25" borderId="0" xfId="3" applyNumberFormat="1" applyFont="1" applyFill="1"/>
    <xf numFmtId="166" fontId="4" fillId="25" borderId="0" xfId="3" applyNumberFormat="1" applyFont="1" applyFill="1"/>
    <xf numFmtId="165" fontId="4" fillId="25" borderId="0" xfId="2" applyNumberFormat="1" applyFont="1" applyFill="1"/>
    <xf numFmtId="0" fontId="12" fillId="26" borderId="0" xfId="1" applyFont="1" applyFill="1" applyAlignment="1">
      <alignment horizontal="center"/>
    </xf>
  </cellXfs>
  <cellStyles count="4">
    <cellStyle name="Comma 2" xfId="2" xr:uid="{292DF942-7014-44B8-8A68-F7C2F38204C4}"/>
    <cellStyle name="Normal" xfId="0" builtinId="0"/>
    <cellStyle name="Normal 3" xfId="1" xr:uid="{D26B5627-C4FC-4635-B46F-EF6B029F2B0B}"/>
    <cellStyle name="Percent 2" xfId="3" xr:uid="{9ECFDBBC-5577-4C78-8E33-2FC01D7A19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A201-B357-4B0F-A551-1CEC23FB35F8}">
  <dimension ref="A1:X130"/>
  <sheetViews>
    <sheetView tabSelected="1" zoomScale="84" zoomScaleNormal="84" workbookViewId="0">
      <pane xSplit="1" ySplit="2" topLeftCell="Q3" activePane="bottomRight" state="frozen"/>
      <selection activeCell="AP4" sqref="AP4"/>
      <selection pane="topRight" activeCell="AP4" sqref="AP4"/>
      <selection pane="bottomLeft" activeCell="AP4" sqref="AP4"/>
      <selection pane="bottomRight" activeCell="Q60" sqref="Q60"/>
    </sheetView>
  </sheetViews>
  <sheetFormatPr defaultRowHeight="12.5" x14ac:dyDescent="0.25"/>
  <cols>
    <col min="1" max="1" width="34.9140625" style="2" bestFit="1" customWidth="1"/>
    <col min="2" max="2" width="14.4140625" style="2" bestFit="1" customWidth="1"/>
    <col min="3" max="3" width="7" style="2" customWidth="1"/>
    <col min="4" max="4" width="12.5" style="3" customWidth="1"/>
    <col min="5" max="5" width="7.08203125" style="3" bestFit="1" customWidth="1"/>
    <col min="6" max="6" width="12.1640625" style="3" bestFit="1" customWidth="1"/>
    <col min="7" max="7" width="6.9140625" style="3" bestFit="1" customWidth="1"/>
    <col min="8" max="8" width="12.1640625" style="3" bestFit="1" customWidth="1"/>
    <col min="9" max="9" width="6.9140625" style="3" bestFit="1" customWidth="1"/>
    <col min="10" max="10" width="12.1640625" style="3" bestFit="1" customWidth="1"/>
    <col min="11" max="11" width="6.9140625" style="3" customWidth="1"/>
    <col min="12" max="12" width="12.1640625" style="3" bestFit="1" customWidth="1"/>
    <col min="13" max="13" width="6.9140625" style="3" customWidth="1"/>
    <col min="14" max="14" width="12.1640625" style="3" bestFit="1" customWidth="1"/>
    <col min="15" max="15" width="6.9140625" style="3" customWidth="1"/>
    <col min="16" max="16" width="11.58203125" style="3" bestFit="1" customWidth="1"/>
    <col min="17" max="17" width="7.4140625" style="3" bestFit="1" customWidth="1"/>
    <col min="18" max="18" width="12.5" style="3" customWidth="1"/>
    <col min="19" max="19" width="7.4140625" style="3" bestFit="1" customWidth="1"/>
    <col min="20" max="20" width="14.5" style="3" bestFit="1" customWidth="1"/>
    <col min="21" max="21" width="7.4140625" style="3" bestFit="1" customWidth="1"/>
    <col min="22" max="22" width="13.08203125" style="3" customWidth="1"/>
    <col min="23" max="23" width="12.5" style="3" hidden="1" customWidth="1"/>
    <col min="24" max="24" width="6.75" style="3" hidden="1" customWidth="1"/>
    <col min="25" max="16384" width="8.6640625" style="3"/>
  </cols>
  <sheetData>
    <row r="1" spans="1:24" ht="18" x14ac:dyDescent="0.4">
      <c r="A1" s="1" t="s">
        <v>0</v>
      </c>
      <c r="W1" s="4" t="s">
        <v>1</v>
      </c>
      <c r="X1" s="4"/>
    </row>
    <row r="2" spans="1:24" ht="15.5" x14ac:dyDescent="0.35">
      <c r="A2" s="5" t="s">
        <v>2</v>
      </c>
      <c r="B2" s="6">
        <v>45748</v>
      </c>
      <c r="C2" s="6" t="s">
        <v>3</v>
      </c>
      <c r="D2" s="6">
        <v>45778</v>
      </c>
      <c r="E2" s="6" t="s">
        <v>3</v>
      </c>
      <c r="F2" s="6">
        <v>45809</v>
      </c>
      <c r="G2" s="6" t="s">
        <v>3</v>
      </c>
      <c r="H2" s="6">
        <v>45839</v>
      </c>
      <c r="I2" s="6" t="s">
        <v>3</v>
      </c>
      <c r="J2" s="6">
        <v>45870</v>
      </c>
      <c r="K2" s="6" t="s">
        <v>3</v>
      </c>
      <c r="L2" s="6">
        <v>45901</v>
      </c>
      <c r="M2" s="6" t="s">
        <v>3</v>
      </c>
      <c r="N2" s="6">
        <v>45931</v>
      </c>
      <c r="O2" s="6" t="s">
        <v>3</v>
      </c>
      <c r="P2" s="6">
        <v>45962</v>
      </c>
      <c r="Q2" s="6" t="s">
        <v>3</v>
      </c>
      <c r="R2" s="6">
        <v>45992</v>
      </c>
      <c r="S2" s="6" t="s">
        <v>3</v>
      </c>
      <c r="T2" s="7">
        <v>46023</v>
      </c>
      <c r="U2" s="7" t="s">
        <v>3</v>
      </c>
      <c r="V2" s="8" t="s">
        <v>4</v>
      </c>
      <c r="W2" s="9">
        <v>45839</v>
      </c>
      <c r="X2" s="9" t="s">
        <v>3</v>
      </c>
    </row>
    <row r="3" spans="1:24" ht="14" x14ac:dyDescent="0.3">
      <c r="A3" s="10" t="s">
        <v>5</v>
      </c>
      <c r="B3" s="11">
        <f t="shared" ref="B3:X3" si="0">SUM(B4:B8)</f>
        <v>47072208.218095243</v>
      </c>
      <c r="C3" s="12">
        <f t="shared" si="0"/>
        <v>1.0000000000000002</v>
      </c>
      <c r="D3" s="11">
        <f t="shared" si="0"/>
        <v>54632895.001360543</v>
      </c>
      <c r="E3" s="12">
        <f t="shared" si="0"/>
        <v>1</v>
      </c>
      <c r="F3" s="13">
        <f t="shared" si="0"/>
        <v>54716166.749796823</v>
      </c>
      <c r="G3" s="12">
        <f t="shared" si="0"/>
        <v>1</v>
      </c>
      <c r="H3" s="11">
        <f t="shared" ref="H3:Q3" si="1">SUM(H4:H8)</f>
        <v>46854331.460119046</v>
      </c>
      <c r="I3" s="12">
        <f t="shared" si="1"/>
        <v>0.99999999999999978</v>
      </c>
      <c r="J3" s="11">
        <f t="shared" si="1"/>
        <v>60224094.432238579</v>
      </c>
      <c r="K3" s="12">
        <f t="shared" si="1"/>
        <v>1</v>
      </c>
      <c r="L3" s="11">
        <f t="shared" si="1"/>
        <v>60905395.727983825</v>
      </c>
      <c r="M3" s="12">
        <f t="shared" si="1"/>
        <v>0.99999999999999989</v>
      </c>
      <c r="N3" s="11">
        <f t="shared" si="1"/>
        <v>73624498.592708632</v>
      </c>
      <c r="O3" s="12">
        <f t="shared" si="1"/>
        <v>0.99999999999999989</v>
      </c>
      <c r="P3" s="11">
        <f t="shared" si="1"/>
        <v>65094684.509721547</v>
      </c>
      <c r="Q3" s="12">
        <f t="shared" si="1"/>
        <v>1</v>
      </c>
      <c r="R3" s="11">
        <f t="shared" si="0"/>
        <v>79994486.63579531</v>
      </c>
      <c r="S3" s="12">
        <f t="shared" si="0"/>
        <v>0.99999999999999989</v>
      </c>
      <c r="T3" s="11">
        <f t="shared" ref="T3:U3" si="2">SUM(T4:T8)</f>
        <v>82070018.905401766</v>
      </c>
      <c r="U3" s="12">
        <f t="shared" si="2"/>
        <v>1.0000000000000002</v>
      </c>
      <c r="V3" s="11">
        <f t="shared" si="0"/>
        <v>2075532.2696064641</v>
      </c>
      <c r="W3" s="11" t="e">
        <f t="shared" si="0"/>
        <v>#N/A</v>
      </c>
      <c r="X3" s="12" t="e">
        <f t="shared" si="0"/>
        <v>#N/A</v>
      </c>
    </row>
    <row r="4" spans="1:24" ht="14" x14ac:dyDescent="0.3">
      <c r="A4" s="14" t="s">
        <v>6</v>
      </c>
      <c r="B4" s="15">
        <f>SUM(B84:B87)</f>
        <v>18916837.642857146</v>
      </c>
      <c r="C4" s="16">
        <f>B4/$B$3</f>
        <v>0.40186849860987056</v>
      </c>
      <c r="D4" s="15">
        <f>SUM(D84:D87)</f>
        <v>18609224.428571429</v>
      </c>
      <c r="E4" s="16">
        <f>D4/$D$3</f>
        <v>0.34062307018707311</v>
      </c>
      <c r="F4" s="17">
        <f>SUM(F84:F87)</f>
        <v>19865881.990476191</v>
      </c>
      <c r="G4" s="16">
        <f>F4/$F$3</f>
        <v>0.36307152292516837</v>
      </c>
      <c r="H4" s="15">
        <f>SUM(H84:H87)</f>
        <v>20801371.44761904</v>
      </c>
      <c r="I4" s="16">
        <f t="shared" ref="I4:I14" si="3">H4/$H$3</f>
        <v>0.44395834492536773</v>
      </c>
      <c r="J4" s="15">
        <f>SUM(J84:J87)</f>
        <v>24919787.171428569</v>
      </c>
      <c r="K4" s="16">
        <f>J4/J3</f>
        <v>0.41378434007782688</v>
      </c>
      <c r="L4" s="15">
        <f>SUM(L84:L87)</f>
        <v>22111908.609523814</v>
      </c>
      <c r="M4" s="16">
        <f>L4/L3</f>
        <v>0.3630533607938482</v>
      </c>
      <c r="N4" s="15">
        <f>SUM(N84:N87)</f>
        <v>25770633.466666665</v>
      </c>
      <c r="O4" s="16">
        <f>N4/N3</f>
        <v>0.3500279656806905</v>
      </c>
      <c r="P4" s="15">
        <f>SUM(P84:P87)</f>
        <v>21280269.123809531</v>
      </c>
      <c r="Q4" s="16">
        <f t="shared" ref="Q4:Q14" si="4">P4/$P$3</f>
        <v>0.32691254722390484</v>
      </c>
      <c r="R4" s="15">
        <f>SUM(R84:R87)</f>
        <v>24512698.838095244</v>
      </c>
      <c r="S4" s="16">
        <f>R4/$R$3</f>
        <v>0.30642985371852483</v>
      </c>
      <c r="T4" s="15">
        <f>SUM(T84:T87)</f>
        <v>24144359.866666686</v>
      </c>
      <c r="U4" s="16">
        <f t="shared" ref="U4:U14" si="5">T4/$T$3</f>
        <v>0.29419220549341835</v>
      </c>
      <c r="V4" s="15">
        <f>SUM(V84:V87)</f>
        <v>-368338.97142855829</v>
      </c>
      <c r="W4" s="15" t="e">
        <f>SUM(W84:W87)</f>
        <v>#N/A</v>
      </c>
      <c r="X4" s="16" t="e">
        <f t="shared" ref="X4:X14" si="6">W4/$R$3</f>
        <v>#N/A</v>
      </c>
    </row>
    <row r="5" spans="1:24" ht="14" x14ac:dyDescent="0.3">
      <c r="A5" s="14" t="s">
        <v>7</v>
      </c>
      <c r="B5" s="15">
        <f>SUM(B88:B90)</f>
        <v>26800978.140000008</v>
      </c>
      <c r="C5" s="16">
        <f t="shared" ref="C5:C14" si="7">B5/$B$3</f>
        <v>0.56935884579337248</v>
      </c>
      <c r="D5" s="15">
        <f>SUM(D88:D90)</f>
        <v>34160995.68</v>
      </c>
      <c r="E5" s="16">
        <f t="shared" ref="E5:E14" si="8">D5/$D$3</f>
        <v>0.62528254596702726</v>
      </c>
      <c r="F5" s="17">
        <f>SUM(F88:F90)</f>
        <v>32322375.680000003</v>
      </c>
      <c r="G5" s="16">
        <f t="shared" ref="G5:G14" si="9">F5/$F$3</f>
        <v>0.59072807179278553</v>
      </c>
      <c r="H5" s="15">
        <f>SUM(H88:H90)</f>
        <v>23653425.100000001</v>
      </c>
      <c r="I5" s="16">
        <f t="shared" si="3"/>
        <v>0.50482899580229978</v>
      </c>
      <c r="J5" s="15">
        <f>SUM(J88:J90)</f>
        <v>33769576.530000009</v>
      </c>
      <c r="K5" s="16">
        <f>J5/J3</f>
        <v>0.56073199353783565</v>
      </c>
      <c r="L5" s="15">
        <f>SUM(L88:L90)</f>
        <v>38009257.850000009</v>
      </c>
      <c r="M5" s="16">
        <f>L5/L3</f>
        <v>0.624070452144458</v>
      </c>
      <c r="N5" s="15">
        <f>SUM(N88:N90)</f>
        <v>46883722.36999996</v>
      </c>
      <c r="O5" s="16">
        <f>N5/N3</f>
        <v>0.6367951329537892</v>
      </c>
      <c r="P5" s="15">
        <f>SUM(P88:P90)</f>
        <v>42919537.790000014</v>
      </c>
      <c r="Q5" s="16">
        <f t="shared" si="4"/>
        <v>0.6593401306613631</v>
      </c>
      <c r="R5" s="15">
        <f>SUM(R88:R90)</f>
        <v>54544821.860000059</v>
      </c>
      <c r="S5" s="16">
        <f t="shared" ref="S5:S14" si="10">R5/$R$3</f>
        <v>0.68185726484295939</v>
      </c>
      <c r="T5" s="15">
        <f>SUM(T88:T90)</f>
        <v>56954064.730000086</v>
      </c>
      <c r="U5" s="16">
        <f t="shared" si="5"/>
        <v>0.69396919227773479</v>
      </c>
      <c r="V5" s="15">
        <f>SUM(V88:V90)</f>
        <v>2409242.870000022</v>
      </c>
      <c r="W5" s="15" t="e">
        <f>SUM(W88:W90)</f>
        <v>#N/A</v>
      </c>
      <c r="X5" s="16" t="e">
        <f t="shared" si="6"/>
        <v>#N/A</v>
      </c>
    </row>
    <row r="6" spans="1:24" ht="14" x14ac:dyDescent="0.3">
      <c r="A6" s="14" t="s">
        <v>8</v>
      </c>
      <c r="B6" s="15">
        <v>402504.36</v>
      </c>
      <c r="C6" s="16">
        <f t="shared" si="7"/>
        <v>8.5507855959319843E-3</v>
      </c>
      <c r="D6" s="15">
        <v>591468.55000000016</v>
      </c>
      <c r="E6" s="16">
        <f t="shared" si="8"/>
        <v>1.0826234816684538E-2</v>
      </c>
      <c r="F6" s="17">
        <v>495984.74860000011</v>
      </c>
      <c r="G6" s="16">
        <f t="shared" si="9"/>
        <v>9.0646837682912401E-3</v>
      </c>
      <c r="H6" s="15">
        <v>457982.62500000023</v>
      </c>
      <c r="I6" s="16">
        <f t="shared" si="3"/>
        <v>9.7746059057489884E-3</v>
      </c>
      <c r="J6" s="15">
        <v>650208.25419000001</v>
      </c>
      <c r="K6" s="16">
        <f>J6/J3</f>
        <v>1.0796480384135703E-2</v>
      </c>
      <c r="L6" s="15">
        <v>784229.26845999982</v>
      </c>
      <c r="M6" s="16">
        <f>L6/L3</f>
        <v>1.2876187061693696E-2</v>
      </c>
      <c r="N6" s="15">
        <v>970142.75604199944</v>
      </c>
      <c r="O6" s="16">
        <f>N6/N3</f>
        <v>1.3176901365520159E-2</v>
      </c>
      <c r="P6" s="15">
        <v>894877.5959120004</v>
      </c>
      <c r="Q6" s="16">
        <f t="shared" si="4"/>
        <v>1.3747322114732043E-2</v>
      </c>
      <c r="R6" s="15">
        <v>936965.93770000071</v>
      </c>
      <c r="S6" s="16">
        <f t="shared" si="10"/>
        <v>1.171288143851572E-2</v>
      </c>
      <c r="T6" s="15">
        <v>971594.3087350009</v>
      </c>
      <c r="U6" s="16">
        <f t="shared" si="5"/>
        <v>1.1838602228846952E-2</v>
      </c>
      <c r="V6" s="15">
        <f>T6-R6</f>
        <v>34628.371035000193</v>
      </c>
      <c r="W6" s="15" t="e">
        <v>#N/A</v>
      </c>
      <c r="X6" s="16" t="e">
        <f t="shared" si="6"/>
        <v>#N/A</v>
      </c>
    </row>
    <row r="7" spans="1:24" ht="14" x14ac:dyDescent="0.3">
      <c r="A7" s="18" t="s">
        <v>9</v>
      </c>
      <c r="B7" s="19">
        <v>926466.99523809529</v>
      </c>
      <c r="C7" s="20">
        <f t="shared" si="7"/>
        <v>1.9681825652741479E-2</v>
      </c>
      <c r="D7" s="19">
        <v>1255983.8927891157</v>
      </c>
      <c r="E7" s="20">
        <f t="shared" si="8"/>
        <v>2.2989517446546398E-2</v>
      </c>
      <c r="F7" s="21">
        <v>2007592.4300000013</v>
      </c>
      <c r="G7" s="20">
        <f t="shared" si="9"/>
        <v>3.6691028433702477E-2</v>
      </c>
      <c r="H7" s="19">
        <v>1907154.85</v>
      </c>
      <c r="I7" s="20">
        <f t="shared" si="3"/>
        <v>4.0703917664972153E-2</v>
      </c>
      <c r="J7" s="19">
        <v>868882.59</v>
      </c>
      <c r="K7" s="20">
        <f>J7/J3</f>
        <v>1.44274911593337E-2</v>
      </c>
      <c r="L7" s="19">
        <v>0</v>
      </c>
      <c r="M7" s="20">
        <f>L7/L3</f>
        <v>0</v>
      </c>
      <c r="N7" s="19">
        <v>0</v>
      </c>
      <c r="O7" s="20">
        <f>N7/N3</f>
        <v>0</v>
      </c>
      <c r="P7" s="19">
        <v>0</v>
      </c>
      <c r="Q7" s="20">
        <f t="shared" si="4"/>
        <v>0</v>
      </c>
      <c r="R7" s="19">
        <v>0</v>
      </c>
      <c r="S7" s="20">
        <f t="shared" si="10"/>
        <v>0</v>
      </c>
      <c r="T7" s="19">
        <v>0</v>
      </c>
      <c r="U7" s="20">
        <f t="shared" si="5"/>
        <v>0</v>
      </c>
      <c r="V7" s="19">
        <f>T7-R7</f>
        <v>0</v>
      </c>
      <c r="W7" s="19" t="e">
        <v>#N/A</v>
      </c>
      <c r="X7" s="20" t="e">
        <f t="shared" si="6"/>
        <v>#N/A</v>
      </c>
    </row>
    <row r="8" spans="1:24" ht="14" x14ac:dyDescent="0.3">
      <c r="A8" s="18" t="s">
        <v>10</v>
      </c>
      <c r="B8" s="22">
        <v>25421.08</v>
      </c>
      <c r="C8" s="20">
        <f t="shared" si="7"/>
        <v>5.4004434808366968E-4</v>
      </c>
      <c r="D8" s="19">
        <v>15222.450000000003</v>
      </c>
      <c r="E8" s="20">
        <f t="shared" si="8"/>
        <v>2.7863158266866348E-4</v>
      </c>
      <c r="F8" s="21">
        <v>24331.900720628702</v>
      </c>
      <c r="G8" s="20">
        <f t="shared" si="9"/>
        <v>4.4469308005241529E-4</v>
      </c>
      <c r="H8" s="19">
        <v>34397.4375</v>
      </c>
      <c r="I8" s="20">
        <f t="shared" si="3"/>
        <v>7.3413570161123809E-4</v>
      </c>
      <c r="J8" s="19">
        <v>15639.886619999997</v>
      </c>
      <c r="K8" s="20">
        <f>J8/J3</f>
        <v>2.5969484086800656E-4</v>
      </c>
      <c r="L8" s="19">
        <v>0</v>
      </c>
      <c r="M8" s="20">
        <f>L8/L3</f>
        <v>0</v>
      </c>
      <c r="N8" s="19">
        <v>0</v>
      </c>
      <c r="O8" s="20">
        <f>N8/N3</f>
        <v>0</v>
      </c>
      <c r="P8" s="19">
        <v>0</v>
      </c>
      <c r="Q8" s="20">
        <f t="shared" si="4"/>
        <v>0</v>
      </c>
      <c r="R8" s="19">
        <v>0</v>
      </c>
      <c r="S8" s="20">
        <f t="shared" si="10"/>
        <v>0</v>
      </c>
      <c r="T8" s="19">
        <v>0</v>
      </c>
      <c r="U8" s="20">
        <f t="shared" si="5"/>
        <v>0</v>
      </c>
      <c r="V8" s="19">
        <f>T8-R8</f>
        <v>0</v>
      </c>
      <c r="W8" s="19" t="e">
        <v>#N/A</v>
      </c>
      <c r="X8" s="20" t="e">
        <f t="shared" si="6"/>
        <v>#N/A</v>
      </c>
    </row>
    <row r="9" spans="1:24" ht="14" x14ac:dyDescent="0.3">
      <c r="A9" s="10" t="s">
        <v>11</v>
      </c>
      <c r="B9" s="11">
        <v>541067.66999999993</v>
      </c>
      <c r="C9" s="12">
        <f t="shared" si="7"/>
        <v>1.1494418691664557E-2</v>
      </c>
      <c r="D9" s="11">
        <v>688083.09000000008</v>
      </c>
      <c r="E9" s="12">
        <f t="shared" si="8"/>
        <v>1.2594666454758886E-2</v>
      </c>
      <c r="F9" s="13">
        <v>565631.41</v>
      </c>
      <c r="G9" s="12">
        <f t="shared" si="9"/>
        <v>1.0337555490436478E-2</v>
      </c>
      <c r="H9" s="11">
        <v>647234.80999999994</v>
      </c>
      <c r="I9" s="12">
        <f t="shared" si="3"/>
        <v>1.3813766835002355E-2</v>
      </c>
      <c r="J9" s="11">
        <v>1069280.503</v>
      </c>
      <c r="K9" s="12">
        <f>J9/J3</f>
        <v>1.7755028333437308E-2</v>
      </c>
      <c r="L9" s="11">
        <v>898708.96000000031</v>
      </c>
      <c r="M9" s="12">
        <f>L9/L3</f>
        <v>1.4755818417366855E-2</v>
      </c>
      <c r="N9" s="11">
        <v>1101907.6630000002</v>
      </c>
      <c r="O9" s="12">
        <f>N9/N3</f>
        <v>1.4966589709435754E-2</v>
      </c>
      <c r="P9" s="11">
        <v>769146.07999999984</v>
      </c>
      <c r="Q9" s="12">
        <f t="shared" si="4"/>
        <v>1.1815804712674073E-2</v>
      </c>
      <c r="R9" s="11">
        <v>795026.7</v>
      </c>
      <c r="S9" s="12">
        <f t="shared" si="10"/>
        <v>9.9385186834144591E-3</v>
      </c>
      <c r="T9" s="11">
        <v>958259.74999999988</v>
      </c>
      <c r="U9" s="12">
        <f t="shared" si="5"/>
        <v>1.1676124396955978E-2</v>
      </c>
      <c r="V9" s="11">
        <f>T9-R9</f>
        <v>163233.04999999993</v>
      </c>
      <c r="W9" s="11" t="e">
        <v>#N/A</v>
      </c>
      <c r="X9" s="12" t="e">
        <f t="shared" si="6"/>
        <v>#N/A</v>
      </c>
    </row>
    <row r="10" spans="1:24" ht="14" x14ac:dyDescent="0.3">
      <c r="A10" s="23" t="s">
        <v>12</v>
      </c>
      <c r="B10" s="24">
        <f>SUM(B11:B14)</f>
        <v>118660.78</v>
      </c>
      <c r="C10" s="25">
        <f t="shared" si="7"/>
        <v>2.5208245903871802E-3</v>
      </c>
      <c r="D10" s="24">
        <f t="shared" ref="D10:W10" si="11">SUM(D11:D14)</f>
        <v>127296.62999999999</v>
      </c>
      <c r="E10" s="25">
        <f t="shared" si="8"/>
        <v>2.3300363269570445E-3</v>
      </c>
      <c r="F10" s="26">
        <f t="shared" ref="F10" si="12">SUM(F11:F14)</f>
        <v>116724.86000000002</v>
      </c>
      <c r="G10" s="25">
        <f t="shared" si="9"/>
        <v>2.1332791921216494E-3</v>
      </c>
      <c r="H10" s="24">
        <f t="shared" ref="H10:J10" si="13">SUM(H11:H14)</f>
        <v>149016.65000000002</v>
      </c>
      <c r="I10" s="25">
        <f t="shared" si="3"/>
        <v>3.1804242074574976E-3</v>
      </c>
      <c r="J10" s="24">
        <f t="shared" si="13"/>
        <v>189534</v>
      </c>
      <c r="K10" s="25">
        <f>J10/J3</f>
        <v>3.1471457028424904E-3</v>
      </c>
      <c r="L10" s="24">
        <f t="shared" ref="L10" si="14">SUM(L11:L14)</f>
        <v>143775.25</v>
      </c>
      <c r="M10" s="25">
        <f>L10/L3</f>
        <v>2.3606323919498069E-3</v>
      </c>
      <c r="N10" s="24">
        <f t="shared" ref="N10" si="15">SUM(N11:N14)</f>
        <v>175391.78</v>
      </c>
      <c r="O10" s="25">
        <f>N10/N3</f>
        <v>2.3822475310870212E-3</v>
      </c>
      <c r="P10" s="24">
        <f t="shared" ref="P10:R10" si="16">SUM(P11:P14)</f>
        <v>163899.70000000001</v>
      </c>
      <c r="Q10" s="25">
        <f t="shared" si="4"/>
        <v>2.5178661089527588E-3</v>
      </c>
      <c r="R10" s="24">
        <f t="shared" si="16"/>
        <v>203162.81</v>
      </c>
      <c r="S10" s="25">
        <f t="shared" si="10"/>
        <v>2.5397101543381904E-3</v>
      </c>
      <c r="T10" s="24">
        <f t="shared" ref="T10" si="17">SUM(T11:T14)</f>
        <v>165241</v>
      </c>
      <c r="U10" s="25">
        <f t="shared" si="5"/>
        <v>2.013414913312808E-3</v>
      </c>
      <c r="V10" s="24">
        <f t="shared" si="11"/>
        <v>-37921.810000000005</v>
      </c>
      <c r="W10" s="24" t="e">
        <f t="shared" si="11"/>
        <v>#N/A</v>
      </c>
      <c r="X10" s="25" t="e">
        <f t="shared" si="6"/>
        <v>#N/A</v>
      </c>
    </row>
    <row r="11" spans="1:24" ht="14" x14ac:dyDescent="0.3">
      <c r="A11" s="14" t="s">
        <v>13</v>
      </c>
      <c r="B11" s="15">
        <v>10670.349999999999</v>
      </c>
      <c r="C11" s="16">
        <f t="shared" si="7"/>
        <v>2.2668046399187538E-4</v>
      </c>
      <c r="D11" s="15">
        <v>17394.099999999999</v>
      </c>
      <c r="E11" s="16">
        <f t="shared" si="8"/>
        <v>3.1838144399206426E-4</v>
      </c>
      <c r="F11" s="17">
        <v>14676</v>
      </c>
      <c r="G11" s="16">
        <f t="shared" si="9"/>
        <v>2.6822054379484645E-4</v>
      </c>
      <c r="H11" s="15">
        <v>14069.8</v>
      </c>
      <c r="I11" s="16">
        <f t="shared" si="3"/>
        <v>3.0028813903738605E-4</v>
      </c>
      <c r="J11" s="15">
        <v>18988</v>
      </c>
      <c r="K11" s="16">
        <f>J11/J3</f>
        <v>3.1528909116872547E-4</v>
      </c>
      <c r="L11" s="15">
        <v>17283.14</v>
      </c>
      <c r="M11" s="16">
        <f>L11/L3</f>
        <v>2.8377026030977783E-4</v>
      </c>
      <c r="N11" s="15">
        <v>15326.7</v>
      </c>
      <c r="O11" s="16">
        <f>N11/N3</f>
        <v>2.0817391347936287E-4</v>
      </c>
      <c r="P11" s="15">
        <v>13833.7</v>
      </c>
      <c r="Q11" s="16">
        <f t="shared" si="4"/>
        <v>2.1251658417568658E-4</v>
      </c>
      <c r="R11" s="15">
        <v>11362.6</v>
      </c>
      <c r="S11" s="16">
        <f t="shared" si="10"/>
        <v>1.4204228913590594E-4</v>
      </c>
      <c r="T11" s="15">
        <v>11859.3</v>
      </c>
      <c r="U11" s="16">
        <f t="shared" si="5"/>
        <v>1.4450222088616374E-4</v>
      </c>
      <c r="V11" s="15">
        <f>T11-R11</f>
        <v>496.69999999999891</v>
      </c>
      <c r="W11" s="15" t="e">
        <v>#N/A</v>
      </c>
      <c r="X11" s="16" t="e">
        <f t="shared" si="6"/>
        <v>#N/A</v>
      </c>
    </row>
    <row r="12" spans="1:24" ht="14" x14ac:dyDescent="0.3">
      <c r="A12" s="14" t="s">
        <v>14</v>
      </c>
      <c r="B12" s="15">
        <v>30965.789999999997</v>
      </c>
      <c r="C12" s="16">
        <f t="shared" si="7"/>
        <v>6.5783593275524929E-4</v>
      </c>
      <c r="D12" s="15">
        <v>31812.94</v>
      </c>
      <c r="E12" s="16">
        <f t="shared" si="8"/>
        <v>5.823037567239984E-4</v>
      </c>
      <c r="F12" s="17">
        <v>26589.1</v>
      </c>
      <c r="G12" s="16">
        <f t="shared" si="9"/>
        <v>4.8594595673313922E-4</v>
      </c>
      <c r="H12" s="15">
        <v>31610.33</v>
      </c>
      <c r="I12" s="16">
        <f t="shared" si="3"/>
        <v>6.7465117983607839E-4</v>
      </c>
      <c r="J12" s="15">
        <v>34039.72</v>
      </c>
      <c r="K12" s="16">
        <f>J12/J3</f>
        <v>5.6521763126384493E-4</v>
      </c>
      <c r="L12" s="15">
        <v>30780.440000000002</v>
      </c>
      <c r="M12" s="16">
        <f>L12/L3</f>
        <v>5.0538116749904811E-4</v>
      </c>
      <c r="N12" s="15">
        <v>25594.170000000002</v>
      </c>
      <c r="O12" s="16">
        <f>N12/N3</f>
        <v>3.4763116203462616E-4</v>
      </c>
      <c r="P12" s="15">
        <v>35320.630000000005</v>
      </c>
      <c r="Q12" s="16">
        <f t="shared" si="4"/>
        <v>5.4260390485071108E-4</v>
      </c>
      <c r="R12" s="15">
        <v>19790.829999999998</v>
      </c>
      <c r="S12" s="16">
        <f t="shared" si="10"/>
        <v>2.4740242524594379E-4</v>
      </c>
      <c r="T12" s="15">
        <v>16982.310000000001</v>
      </c>
      <c r="U12" s="16">
        <f t="shared" si="5"/>
        <v>2.0692465076162231E-4</v>
      </c>
      <c r="V12" s="15">
        <f>T12-R12</f>
        <v>-2808.5199999999968</v>
      </c>
      <c r="W12" s="15" t="e">
        <v>#N/A</v>
      </c>
      <c r="X12" s="16" t="e">
        <f t="shared" si="6"/>
        <v>#N/A</v>
      </c>
    </row>
    <row r="13" spans="1:24" ht="14" x14ac:dyDescent="0.3">
      <c r="A13" s="14" t="s">
        <v>15</v>
      </c>
      <c r="B13" s="15">
        <v>4100</v>
      </c>
      <c r="C13" s="16">
        <f t="shared" si="7"/>
        <v>8.7100226549896589E-5</v>
      </c>
      <c r="D13" s="15">
        <v>0</v>
      </c>
      <c r="E13" s="16">
        <f t="shared" si="8"/>
        <v>0</v>
      </c>
      <c r="F13" s="17">
        <v>580</v>
      </c>
      <c r="G13" s="16">
        <f t="shared" si="9"/>
        <v>1.0600157767853022E-5</v>
      </c>
      <c r="H13" s="15">
        <v>1000</v>
      </c>
      <c r="I13" s="16">
        <f t="shared" si="3"/>
        <v>2.1342743964902562E-5</v>
      </c>
      <c r="J13" s="15">
        <v>4613</v>
      </c>
      <c r="K13" s="16">
        <f>J13/J3</f>
        <v>7.6597249713573331E-5</v>
      </c>
      <c r="L13" s="15">
        <v>7700</v>
      </c>
      <c r="M13" s="16">
        <f>L13/L3</f>
        <v>1.264255803277234E-4</v>
      </c>
      <c r="N13" s="15">
        <v>0</v>
      </c>
      <c r="O13" s="16">
        <f>N13/N3</f>
        <v>0</v>
      </c>
      <c r="P13" s="15">
        <v>0</v>
      </c>
      <c r="Q13" s="16">
        <f t="shared" si="4"/>
        <v>0</v>
      </c>
      <c r="R13" s="15">
        <v>15650.999999999989</v>
      </c>
      <c r="S13" s="16">
        <f t="shared" si="10"/>
        <v>1.9565098368912591E-4</v>
      </c>
      <c r="T13" s="15">
        <v>92</v>
      </c>
      <c r="U13" s="16">
        <f t="shared" si="5"/>
        <v>1.1209940149525743E-6</v>
      </c>
      <c r="V13" s="15">
        <f>T13-R13</f>
        <v>-15558.999999999989</v>
      </c>
      <c r="W13" s="15" t="e">
        <v>#N/A</v>
      </c>
      <c r="X13" s="16" t="e">
        <f t="shared" si="6"/>
        <v>#N/A</v>
      </c>
    </row>
    <row r="14" spans="1:24" ht="14" x14ac:dyDescent="0.3">
      <c r="A14" s="14" t="s">
        <v>16</v>
      </c>
      <c r="B14" s="15">
        <v>72924.639999999999</v>
      </c>
      <c r="C14" s="16">
        <f t="shared" si="7"/>
        <v>1.5492079670901588E-3</v>
      </c>
      <c r="D14" s="15">
        <v>78089.59</v>
      </c>
      <c r="E14" s="16">
        <f t="shared" si="8"/>
        <v>1.4293511262409818E-3</v>
      </c>
      <c r="F14" s="17">
        <v>74879.760000000009</v>
      </c>
      <c r="G14" s="16">
        <f t="shared" si="9"/>
        <v>1.3685125338258105E-3</v>
      </c>
      <c r="H14" s="15">
        <v>102336.52</v>
      </c>
      <c r="I14" s="16">
        <f t="shared" si="3"/>
        <v>2.1841421446191305E-3</v>
      </c>
      <c r="J14" s="15">
        <v>131893.28</v>
      </c>
      <c r="K14" s="16">
        <f>J14/J3</f>
        <v>2.190041730696347E-3</v>
      </c>
      <c r="L14" s="15">
        <v>88011.670000000013</v>
      </c>
      <c r="M14" s="16">
        <f>L14/L3</f>
        <v>1.4450553838132576E-3</v>
      </c>
      <c r="N14" s="15">
        <v>134470.91</v>
      </c>
      <c r="O14" s="16">
        <f>N14/N3</f>
        <v>1.8264424555730322E-3</v>
      </c>
      <c r="P14" s="15">
        <v>114745.37000000001</v>
      </c>
      <c r="Q14" s="16">
        <f t="shared" si="4"/>
        <v>1.7627456199263611E-3</v>
      </c>
      <c r="R14" s="15">
        <v>156358.38</v>
      </c>
      <c r="S14" s="16">
        <f t="shared" si="10"/>
        <v>1.9546144562672145E-3</v>
      </c>
      <c r="T14" s="15">
        <v>136307.38999999998</v>
      </c>
      <c r="U14" s="16">
        <f t="shared" si="5"/>
        <v>1.6608670476500691E-3</v>
      </c>
      <c r="V14" s="15">
        <f>T14-R14</f>
        <v>-20050.99000000002</v>
      </c>
      <c r="W14" s="15" t="e">
        <v>#N/A</v>
      </c>
      <c r="X14" s="16" t="e">
        <f t="shared" si="6"/>
        <v>#N/A</v>
      </c>
    </row>
    <row r="15" spans="1:24" ht="14" x14ac:dyDescent="0.3">
      <c r="A15" s="27" t="s">
        <v>17</v>
      </c>
      <c r="B15" s="28">
        <f>SUM(B4:B6)-B9-B10</f>
        <v>45460591.692857146</v>
      </c>
      <c r="C15" s="29">
        <f t="shared" ref="C15:C31" si="18">B15/$B$15</f>
        <v>1</v>
      </c>
      <c r="D15" s="28">
        <f>SUM(D4:D6)-D9-D10</f>
        <v>52546308.938571416</v>
      </c>
      <c r="E15" s="29">
        <f t="shared" ref="E15:E31" si="19">D15/$D$15</f>
        <v>1</v>
      </c>
      <c r="F15" s="30">
        <f>SUM(F4:F6)-F9-F10</f>
        <v>52001886.149076201</v>
      </c>
      <c r="G15" s="29">
        <f t="shared" ref="G15:G31" si="20">F15/$F$15</f>
        <v>1</v>
      </c>
      <c r="H15" s="28">
        <f>SUM(H4:H6)-H9-H10</f>
        <v>44116527.712619044</v>
      </c>
      <c r="I15" s="29">
        <f t="shared" ref="I15:I31" si="21">H15/$H$15</f>
        <v>1</v>
      </c>
      <c r="J15" s="28">
        <f>SUM(J4:J6)-J9-J10</f>
        <v>58080757.452618577</v>
      </c>
      <c r="K15" s="29">
        <f>J15/J15</f>
        <v>1</v>
      </c>
      <c r="L15" s="28">
        <f>SUM(L4:L6)-L9-L10</f>
        <v>59862911.517983824</v>
      </c>
      <c r="M15" s="29">
        <f>L15/L15</f>
        <v>1</v>
      </c>
      <c r="N15" s="28">
        <f>SUM(N4:N6)-N9-N10</f>
        <v>72347199.149708629</v>
      </c>
      <c r="O15" s="29">
        <f>N15/N15</f>
        <v>1</v>
      </c>
      <c r="P15" s="28">
        <f>SUM(P4:P6)-P9-P10</f>
        <v>64161638.729721546</v>
      </c>
      <c r="Q15" s="29">
        <f t="shared" ref="Q15:Q31" si="22">P15/$P$15</f>
        <v>1</v>
      </c>
      <c r="R15" s="28">
        <f>SUM(R4:R6)-R9-R10</f>
        <v>78996297.125795305</v>
      </c>
      <c r="S15" s="29">
        <f t="shared" ref="S15:S31" si="23">R15/$R$15</f>
        <v>1</v>
      </c>
      <c r="T15" s="28">
        <f>SUM(T4:T6)-T9-T10</f>
        <v>80946518.155401766</v>
      </c>
      <c r="U15" s="29">
        <f t="shared" ref="U15:U31" si="24">T15/$T$15</f>
        <v>1</v>
      </c>
      <c r="V15" s="28">
        <f>SUM(V4:V6)-V9-V10</f>
        <v>1950221.0296064643</v>
      </c>
      <c r="W15" s="28" t="e">
        <f>SUM(W4:W6)-W9-W10</f>
        <v>#N/A</v>
      </c>
      <c r="X15" s="29" t="e">
        <f t="shared" ref="X15:X31" si="25">W15/$R$15</f>
        <v>#N/A</v>
      </c>
    </row>
    <row r="16" spans="1:24" ht="14" x14ac:dyDescent="0.3">
      <c r="A16" s="31" t="s">
        <v>18</v>
      </c>
      <c r="B16" s="32">
        <f>SUM(B17:B29)</f>
        <v>14670936.123592835</v>
      </c>
      <c r="C16" s="33">
        <f t="shared" si="18"/>
        <v>0.32271766770466298</v>
      </c>
      <c r="D16" s="32">
        <f t="shared" ref="D16:W16" si="26">SUM(D17:D29)</f>
        <v>16757511.351685207</v>
      </c>
      <c r="E16" s="33">
        <f t="shared" si="19"/>
        <v>0.31890939040600091</v>
      </c>
      <c r="F16" s="34">
        <f t="shared" ref="F16" si="27">SUM(F17:F29)</f>
        <v>16639653.933920002</v>
      </c>
      <c r="G16" s="33">
        <f t="shared" si="20"/>
        <v>0.31998173847422262</v>
      </c>
      <c r="H16" s="32">
        <f t="shared" ref="H16:J16" si="28">SUM(H17:H29)</f>
        <v>14821487.270499999</v>
      </c>
      <c r="I16" s="33">
        <f t="shared" si="21"/>
        <v>0.33596223544720355</v>
      </c>
      <c r="J16" s="32">
        <f t="shared" si="28"/>
        <v>19227634.754689373</v>
      </c>
      <c r="K16" s="33">
        <f>J16/J15</f>
        <v>0.3310499999999999</v>
      </c>
      <c r="L16" s="32">
        <f t="shared" ref="L16" si="29">SUM(L17:L29)</f>
        <v>19784641.834819999</v>
      </c>
      <c r="M16" s="33">
        <f>L16/L15</f>
        <v>0.33049915771097033</v>
      </c>
      <c r="N16" s="32">
        <f t="shared" ref="N16" si="30">SUM(N17:N29)</f>
        <v>23501659.763886403</v>
      </c>
      <c r="O16" s="33">
        <f>N16/N15</f>
        <v>0.32484546796696628</v>
      </c>
      <c r="P16" s="32">
        <f t="shared" ref="P16:R16" si="31">SUM(P17:P29)</f>
        <v>20888828.999379698</v>
      </c>
      <c r="Q16" s="33">
        <f t="shared" si="22"/>
        <v>0.32556570269928881</v>
      </c>
      <c r="R16" s="32">
        <f t="shared" si="31"/>
        <v>25458421.657233901</v>
      </c>
      <c r="S16" s="33">
        <f t="shared" si="23"/>
        <v>0.32227360754255852</v>
      </c>
      <c r="T16" s="32">
        <f t="shared" ref="T16" si="32">SUM(T17:T29)</f>
        <v>25479160.514748413</v>
      </c>
      <c r="U16" s="33">
        <f t="shared" si="24"/>
        <v>0.31476536724943893</v>
      </c>
      <c r="V16" s="32">
        <f t="shared" si="26"/>
        <v>20738.857514511707</v>
      </c>
      <c r="W16" s="32" t="e">
        <f t="shared" si="26"/>
        <v>#N/A</v>
      </c>
      <c r="X16" s="33" t="e">
        <f t="shared" si="25"/>
        <v>#N/A</v>
      </c>
    </row>
    <row r="17" spans="1:24" ht="14" x14ac:dyDescent="0.3">
      <c r="A17" s="14" t="s">
        <v>19</v>
      </c>
      <c r="B17" s="15">
        <v>697508.5</v>
      </c>
      <c r="C17" s="16">
        <f t="shared" si="18"/>
        <v>1.534314609700942E-2</v>
      </c>
      <c r="D17" s="15">
        <v>747616.88450974238</v>
      </c>
      <c r="E17" s="16">
        <f t="shared" si="19"/>
        <v>1.4227771647742837E-2</v>
      </c>
      <c r="F17" s="17">
        <v>825060.5</v>
      </c>
      <c r="G17" s="16">
        <f t="shared" si="20"/>
        <v>1.5865972584816656E-2</v>
      </c>
      <c r="H17" s="15">
        <v>826403.36</v>
      </c>
      <c r="I17" s="16">
        <f t="shared" si="21"/>
        <v>1.8732284766002028E-2</v>
      </c>
      <c r="J17" s="15">
        <v>921579</v>
      </c>
      <c r="K17" s="16">
        <f>J17/J15</f>
        <v>1.5867200092075425E-2</v>
      </c>
      <c r="L17" s="15">
        <v>1034662.5</v>
      </c>
      <c r="M17" s="16">
        <f>L17/L15</f>
        <v>1.7283865314321873E-2</v>
      </c>
      <c r="N17" s="15">
        <v>1196241.5</v>
      </c>
      <c r="O17" s="16">
        <f>N17/N15</f>
        <v>1.6534731324216272E-2</v>
      </c>
      <c r="P17" s="15">
        <v>1060356.5</v>
      </c>
      <c r="Q17" s="16">
        <f t="shared" si="22"/>
        <v>1.6526331324963679E-2</v>
      </c>
      <c r="R17" s="15">
        <v>1077694.5</v>
      </c>
      <c r="S17" s="16">
        <f t="shared" si="23"/>
        <v>1.3642341973116251E-2</v>
      </c>
      <c r="T17" s="15">
        <v>1031306.5</v>
      </c>
      <c r="U17" s="16">
        <f t="shared" si="24"/>
        <v>1.2740591238527266E-2</v>
      </c>
      <c r="V17" s="15">
        <f t="shared" ref="V17:V29" si="33">T17-R17</f>
        <v>-46388</v>
      </c>
      <c r="W17" s="15" t="e">
        <v>#N/A</v>
      </c>
      <c r="X17" s="16" t="e">
        <f t="shared" si="25"/>
        <v>#N/A</v>
      </c>
    </row>
    <row r="18" spans="1:24" ht="14" x14ac:dyDescent="0.3">
      <c r="A18" s="14" t="s">
        <v>20</v>
      </c>
      <c r="B18" s="15">
        <v>551536.04506000038</v>
      </c>
      <c r="C18" s="16">
        <f t="shared" si="18"/>
        <v>1.213217920229267E-2</v>
      </c>
      <c r="D18" s="15">
        <v>708398.69241875084</v>
      </c>
      <c r="E18" s="16">
        <f t="shared" si="19"/>
        <v>1.3481416806019528E-2</v>
      </c>
      <c r="F18" s="17">
        <v>683855.54242000019</v>
      </c>
      <c r="G18" s="16">
        <f t="shared" si="20"/>
        <v>1.3150591123936543E-2</v>
      </c>
      <c r="H18" s="15">
        <v>540546.48715000018</v>
      </c>
      <c r="I18" s="16">
        <f t="shared" si="21"/>
        <v>1.2252697915647219E-2</v>
      </c>
      <c r="J18" s="15">
        <v>572031.59543999983</v>
      </c>
      <c r="K18" s="16">
        <f>J18/J15</f>
        <v>9.8489004022830583E-3</v>
      </c>
      <c r="L18" s="15">
        <v>610478.93536999985</v>
      </c>
      <c r="M18" s="16">
        <f>L18/L15</f>
        <v>1.0197949279272889E-2</v>
      </c>
      <c r="N18" s="15">
        <v>818830.67185000016</v>
      </c>
      <c r="O18" s="16">
        <f>N18/N15</f>
        <v>1.1318070104629586E-2</v>
      </c>
      <c r="P18" s="15">
        <v>718786.25677999982</v>
      </c>
      <c r="Q18" s="16">
        <f t="shared" si="22"/>
        <v>1.1202741560387188E-2</v>
      </c>
      <c r="R18" s="15">
        <v>870263.40793999995</v>
      </c>
      <c r="S18" s="16">
        <f t="shared" si="23"/>
        <v>1.10165088694496E-2</v>
      </c>
      <c r="T18" s="15">
        <v>866169.70131000003</v>
      </c>
      <c r="U18" s="16">
        <f t="shared" si="24"/>
        <v>1.070051833047495E-2</v>
      </c>
      <c r="V18" s="15">
        <f t="shared" si="33"/>
        <v>-4093.7066299999133</v>
      </c>
      <c r="W18" s="15" t="e">
        <v>#N/A</v>
      </c>
      <c r="X18" s="16" t="e">
        <f t="shared" si="25"/>
        <v>#N/A</v>
      </c>
    </row>
    <row r="19" spans="1:24" ht="14" x14ac:dyDescent="0.3">
      <c r="A19" s="14" t="s">
        <v>21</v>
      </c>
      <c r="B19" s="15">
        <v>4142650.0137000005</v>
      </c>
      <c r="C19" s="16">
        <f t="shared" si="18"/>
        <v>9.1126178948324185E-2</v>
      </c>
      <c r="D19" s="15">
        <v>4723747.9904207196</v>
      </c>
      <c r="E19" s="16">
        <f t="shared" si="19"/>
        <v>8.9896856427022429E-2</v>
      </c>
      <c r="F19" s="17">
        <v>5238267.7948000012</v>
      </c>
      <c r="G19" s="16">
        <f t="shared" si="20"/>
        <v>0.1007322653602067</v>
      </c>
      <c r="H19" s="15">
        <v>5071904.8658999987</v>
      </c>
      <c r="I19" s="16">
        <f t="shared" si="21"/>
        <v>0.11496609386257832</v>
      </c>
      <c r="J19" s="15">
        <v>5842708.2288000006</v>
      </c>
      <c r="K19" s="16">
        <f>J19/J15</f>
        <v>0.10059628154068748</v>
      </c>
      <c r="L19" s="15">
        <v>5929958.1120000016</v>
      </c>
      <c r="M19" s="16">
        <f>L19/L15</f>
        <v>9.905896592113704E-2</v>
      </c>
      <c r="N19" s="15">
        <v>7212957.5999999996</v>
      </c>
      <c r="O19" s="16">
        <f>N19/N15</f>
        <v>9.9699196164790976E-2</v>
      </c>
      <c r="P19" s="15">
        <v>6377164.5551999984</v>
      </c>
      <c r="Q19" s="16">
        <f t="shared" si="22"/>
        <v>9.9392170796378201E-2</v>
      </c>
      <c r="R19" s="15">
        <v>7658650.5215999996</v>
      </c>
      <c r="S19" s="16">
        <f t="shared" si="23"/>
        <v>9.6949487510841287E-2</v>
      </c>
      <c r="T19" s="15">
        <v>7490168.0533186365</v>
      </c>
      <c r="U19" s="16">
        <f t="shared" si="24"/>
        <v>9.2532306811998422E-2</v>
      </c>
      <c r="V19" s="15">
        <f t="shared" si="33"/>
        <v>-168482.46828136314</v>
      </c>
      <c r="W19" s="15" t="e">
        <v>#N/A</v>
      </c>
      <c r="X19" s="16" t="e">
        <f t="shared" si="25"/>
        <v>#N/A</v>
      </c>
    </row>
    <row r="20" spans="1:24" ht="14" x14ac:dyDescent="0.3">
      <c r="A20" s="14" t="s">
        <v>22</v>
      </c>
      <c r="B20" s="15">
        <v>1929084.2570299997</v>
      </c>
      <c r="C20" s="16">
        <f t="shared" si="18"/>
        <v>4.2434209173152958E-2</v>
      </c>
      <c r="D20" s="15">
        <v>2273546.2437910642</v>
      </c>
      <c r="E20" s="16">
        <f t="shared" si="19"/>
        <v>4.3267477577710059E-2</v>
      </c>
      <c r="F20" s="17">
        <v>2203089.12</v>
      </c>
      <c r="G20" s="16">
        <f t="shared" si="20"/>
        <v>4.2365561773746112E-2</v>
      </c>
      <c r="H20" s="15">
        <v>1796826.6186000002</v>
      </c>
      <c r="I20" s="16">
        <f t="shared" si="21"/>
        <v>4.0729103394192057E-2</v>
      </c>
      <c r="J20" s="15">
        <v>2797742.0283000004</v>
      </c>
      <c r="K20" s="16">
        <f>J20/J15</f>
        <v>4.8169861258823235E-2</v>
      </c>
      <c r="L20" s="15">
        <v>2812031.7632999998</v>
      </c>
      <c r="M20" s="16">
        <f>L20/L15</f>
        <v>4.6974523824408677E-2</v>
      </c>
      <c r="N20" s="15">
        <v>3230308.3940000003</v>
      </c>
      <c r="O20" s="16">
        <f>N20/N15</f>
        <v>4.4650082269466956E-2</v>
      </c>
      <c r="P20" s="15">
        <v>2882671.3908000002</v>
      </c>
      <c r="Q20" s="16">
        <f t="shared" si="22"/>
        <v>4.4928269412555739E-2</v>
      </c>
      <c r="R20" s="15">
        <v>3549213.6132</v>
      </c>
      <c r="S20" s="16">
        <f t="shared" si="23"/>
        <v>4.4928860495171821E-2</v>
      </c>
      <c r="T20" s="15">
        <v>3887745.8048999989</v>
      </c>
      <c r="U20" s="16">
        <f t="shared" si="24"/>
        <v>4.8028573600117967E-2</v>
      </c>
      <c r="V20" s="15">
        <f t="shared" si="33"/>
        <v>338532.19169999892</v>
      </c>
      <c r="W20" s="15" t="e">
        <v>#N/A</v>
      </c>
      <c r="X20" s="16" t="e">
        <f t="shared" si="25"/>
        <v>#N/A</v>
      </c>
    </row>
    <row r="21" spans="1:24" ht="14" x14ac:dyDescent="0.3">
      <c r="A21" s="14" t="s">
        <v>23</v>
      </c>
      <c r="B21" s="15">
        <v>446892.10399999999</v>
      </c>
      <c r="C21" s="16">
        <f t="shared" si="18"/>
        <v>9.8303186861119652E-3</v>
      </c>
      <c r="D21" s="15">
        <v>363371.94053698349</v>
      </c>
      <c r="E21" s="16">
        <f t="shared" si="19"/>
        <v>6.9152705085675711E-3</v>
      </c>
      <c r="F21" s="17">
        <v>349690.02</v>
      </c>
      <c r="G21" s="16">
        <f t="shared" si="20"/>
        <v>6.7245641628753145E-3</v>
      </c>
      <c r="H21" s="15">
        <v>303543.28000000014</v>
      </c>
      <c r="I21" s="16">
        <f t="shared" si="21"/>
        <v>6.8804889173808429E-3</v>
      </c>
      <c r="J21" s="15">
        <v>332590.21999999997</v>
      </c>
      <c r="K21" s="16">
        <f>J21/J15</f>
        <v>5.7263409533066462E-3</v>
      </c>
      <c r="L21" s="15">
        <v>496808.34000000008</v>
      </c>
      <c r="M21" s="16">
        <f>L21/L15</f>
        <v>8.2991008522990146E-3</v>
      </c>
      <c r="N21" s="15">
        <v>593561.68000000017</v>
      </c>
      <c r="O21" s="16">
        <f>N21/N15</f>
        <v>8.2043491244455542E-3</v>
      </c>
      <c r="P21" s="15">
        <v>492727.15999999992</v>
      </c>
      <c r="Q21" s="16">
        <f t="shared" si="22"/>
        <v>7.6794665746552117E-3</v>
      </c>
      <c r="R21" s="15">
        <v>571980.36000000022</v>
      </c>
      <c r="S21" s="16">
        <f t="shared" si="23"/>
        <v>7.2405971015219502E-3</v>
      </c>
      <c r="T21" s="15">
        <v>517318.74</v>
      </c>
      <c r="U21" s="16">
        <f t="shared" si="24"/>
        <v>6.3908708093762274E-3</v>
      </c>
      <c r="V21" s="15">
        <f t="shared" si="33"/>
        <v>-54661.620000000228</v>
      </c>
      <c r="W21" s="15" t="e">
        <v>#N/A</v>
      </c>
      <c r="X21" s="16" t="e">
        <f t="shared" si="25"/>
        <v>#N/A</v>
      </c>
    </row>
    <row r="22" spans="1:24" ht="14" x14ac:dyDescent="0.3">
      <c r="A22" s="14" t="s">
        <v>24</v>
      </c>
      <c r="B22" s="15">
        <v>1189563.061</v>
      </c>
      <c r="C22" s="16">
        <f t="shared" si="18"/>
        <v>2.61669066922177E-2</v>
      </c>
      <c r="D22" s="15">
        <v>1486286.8935449012</v>
      </c>
      <c r="E22" s="16">
        <f t="shared" si="19"/>
        <v>2.82852768075951E-2</v>
      </c>
      <c r="F22" s="17">
        <v>1515501.8069999996</v>
      </c>
      <c r="G22" s="16">
        <f t="shared" si="20"/>
        <v>2.9143208433929507E-2</v>
      </c>
      <c r="H22" s="15">
        <v>1464893.5665000004</v>
      </c>
      <c r="I22" s="16">
        <f t="shared" si="21"/>
        <v>3.3205096648641817E-2</v>
      </c>
      <c r="J22" s="15">
        <v>2141885.693</v>
      </c>
      <c r="K22" s="16">
        <f>J22/J15</f>
        <v>3.6877716251330205E-2</v>
      </c>
      <c r="L22" s="15">
        <v>2072700.6233999999</v>
      </c>
      <c r="M22" s="16">
        <f>L22/L15</f>
        <v>3.4624119857206176E-2</v>
      </c>
      <c r="N22" s="15">
        <v>2557628.0345999999</v>
      </c>
      <c r="O22" s="16">
        <f>N22/N15</f>
        <v>3.5352136152603228E-2</v>
      </c>
      <c r="P22" s="15">
        <v>2167970.5804500002</v>
      </c>
      <c r="Q22" s="16">
        <f t="shared" si="22"/>
        <v>3.3789202136536654E-2</v>
      </c>
      <c r="R22" s="15">
        <v>2434363.0555500002</v>
      </c>
      <c r="S22" s="16">
        <f t="shared" si="23"/>
        <v>3.0816166632133036E-2</v>
      </c>
      <c r="T22" s="15">
        <v>2612758.2264999989</v>
      </c>
      <c r="U22" s="16">
        <f t="shared" si="24"/>
        <v>3.2277586313027143E-2</v>
      </c>
      <c r="V22" s="15">
        <f t="shared" si="33"/>
        <v>178395.17094999878</v>
      </c>
      <c r="W22" s="15" t="e">
        <v>#N/A</v>
      </c>
      <c r="X22" s="16" t="e">
        <f t="shared" si="25"/>
        <v>#N/A</v>
      </c>
    </row>
    <row r="23" spans="1:24" ht="14" x14ac:dyDescent="0.3">
      <c r="A23" s="14" t="s">
        <v>25</v>
      </c>
      <c r="B23" s="15">
        <v>1370924.3521999996</v>
      </c>
      <c r="C23" s="16">
        <f t="shared" si="18"/>
        <v>3.015632443726864E-2</v>
      </c>
      <c r="D23" s="15">
        <v>1562451.0197770917</v>
      </c>
      <c r="E23" s="16">
        <f t="shared" si="19"/>
        <v>2.9734743530771209E-2</v>
      </c>
      <c r="F23" s="17">
        <v>1594064.0671900001</v>
      </c>
      <c r="G23" s="16">
        <f t="shared" si="20"/>
        <v>3.0653966331533115E-2</v>
      </c>
      <c r="H23" s="15">
        <v>1358133.0403799997</v>
      </c>
      <c r="I23" s="16">
        <f t="shared" si="21"/>
        <v>3.0785129990897282E-2</v>
      </c>
      <c r="J23" s="15">
        <v>1961062.6072199997</v>
      </c>
      <c r="K23" s="16">
        <f>J23/J15</f>
        <v>3.3764411712774334E-2</v>
      </c>
      <c r="L23" s="15">
        <v>1928406.6095599998</v>
      </c>
      <c r="M23" s="16">
        <f>L23/L15</f>
        <v>3.2213712308006841E-2</v>
      </c>
      <c r="N23" s="15">
        <v>2389078.3824</v>
      </c>
      <c r="O23" s="16">
        <f>N23/N15</f>
        <v>3.3022403223326745E-2</v>
      </c>
      <c r="P23" s="15">
        <v>2210780.6842400003</v>
      </c>
      <c r="Q23" s="16">
        <f t="shared" si="22"/>
        <v>3.4456424867089656E-2</v>
      </c>
      <c r="R23" s="15">
        <v>2750643.3205400012</v>
      </c>
      <c r="S23" s="16">
        <f t="shared" si="23"/>
        <v>3.4819901952617111E-2</v>
      </c>
      <c r="T23" s="15">
        <v>2734804.7016400001</v>
      </c>
      <c r="U23" s="16">
        <f t="shared" si="24"/>
        <v>3.3785328436112601E-2</v>
      </c>
      <c r="V23" s="15">
        <f t="shared" si="33"/>
        <v>-15838.618900001049</v>
      </c>
      <c r="W23" s="15" t="e">
        <v>#N/A</v>
      </c>
      <c r="X23" s="16" t="e">
        <f t="shared" si="25"/>
        <v>#N/A</v>
      </c>
    </row>
    <row r="24" spans="1:24" ht="14" x14ac:dyDescent="0.3">
      <c r="A24" s="14" t="s">
        <v>26</v>
      </c>
      <c r="B24" s="15">
        <v>316499.92800000013</v>
      </c>
      <c r="C24" s="16">
        <f t="shared" si="18"/>
        <v>6.9620723403327192E-3</v>
      </c>
      <c r="D24" s="15">
        <v>400399.93642459915</v>
      </c>
      <c r="E24" s="16">
        <f t="shared" si="19"/>
        <v>7.6199440933649885E-3</v>
      </c>
      <c r="F24" s="17">
        <v>364945.73900000006</v>
      </c>
      <c r="G24" s="16">
        <f t="shared" si="20"/>
        <v>7.0179327333203517E-3</v>
      </c>
      <c r="H24" s="15">
        <v>280023.42522000003</v>
      </c>
      <c r="I24" s="16">
        <f t="shared" si="21"/>
        <v>6.3473586825352627E-3</v>
      </c>
      <c r="J24" s="15">
        <v>423534.64231000002</v>
      </c>
      <c r="K24" s="16">
        <f>J24/J15</f>
        <v>7.2921680240742954E-3</v>
      </c>
      <c r="L24" s="15">
        <v>424397.67419000005</v>
      </c>
      <c r="M24" s="16">
        <f>L24/L15</f>
        <v>7.0894926997077962E-3</v>
      </c>
      <c r="N24" s="15">
        <v>491200.81719000003</v>
      </c>
      <c r="O24" s="16">
        <f>N24/N15</f>
        <v>6.7894932072429552E-3</v>
      </c>
      <c r="P24" s="15">
        <v>427035.56861999992</v>
      </c>
      <c r="Q24" s="16">
        <f t="shared" si="22"/>
        <v>6.6556212882727473E-3</v>
      </c>
      <c r="R24" s="15">
        <v>560723.04310000001</v>
      </c>
      <c r="S24" s="16">
        <f t="shared" si="23"/>
        <v>7.0980927398039085E-3</v>
      </c>
      <c r="T24" s="15">
        <v>588674.04871000024</v>
      </c>
      <c r="U24" s="16">
        <f t="shared" si="24"/>
        <v>7.2723825820384166E-3</v>
      </c>
      <c r="V24" s="15">
        <f t="shared" si="33"/>
        <v>27951.005610000226</v>
      </c>
      <c r="W24" s="15" t="e">
        <v>#N/A</v>
      </c>
      <c r="X24" s="16" t="e">
        <f t="shared" si="25"/>
        <v>#N/A</v>
      </c>
    </row>
    <row r="25" spans="1:24" ht="14" x14ac:dyDescent="0.3">
      <c r="A25" s="14" t="s">
        <v>27</v>
      </c>
      <c r="B25" s="15">
        <v>43474.390999999996</v>
      </c>
      <c r="C25" s="16">
        <f t="shared" si="18"/>
        <v>9.5630939636077755E-4</v>
      </c>
      <c r="D25" s="15">
        <v>44660.43218790683</v>
      </c>
      <c r="E25" s="16">
        <f t="shared" si="19"/>
        <v>8.4992520102823081E-4</v>
      </c>
      <c r="F25" s="17">
        <v>45949.149000000027</v>
      </c>
      <c r="G25" s="16">
        <f t="shared" si="20"/>
        <v>8.8360543054679763E-4</v>
      </c>
      <c r="H25" s="15">
        <v>59787.600000000006</v>
      </c>
      <c r="I25" s="16">
        <f t="shared" si="21"/>
        <v>1.3552199844345054E-3</v>
      </c>
      <c r="J25" s="15">
        <v>69324.87</v>
      </c>
      <c r="K25" s="16">
        <f>J25/J15</f>
        <v>1.1935944543518427E-3</v>
      </c>
      <c r="L25" s="15">
        <v>75179.849999999991</v>
      </c>
      <c r="M25" s="16">
        <f>L25/L15</f>
        <v>1.2558669148161079E-3</v>
      </c>
      <c r="N25" s="15">
        <v>90022.5</v>
      </c>
      <c r="O25" s="16">
        <f>N25/N15</f>
        <v>1.2443121649217646E-3</v>
      </c>
      <c r="P25" s="15">
        <v>71624.099999999991</v>
      </c>
      <c r="Q25" s="16">
        <f t="shared" si="22"/>
        <v>1.1163072112561491E-3</v>
      </c>
      <c r="R25" s="15">
        <v>78182.699999999983</v>
      </c>
      <c r="S25" s="16">
        <f t="shared" si="23"/>
        <v>9.8970081946373085E-4</v>
      </c>
      <c r="T25" s="15">
        <v>71301.449999999983</v>
      </c>
      <c r="U25" s="16">
        <f t="shared" si="24"/>
        <v>8.8084641099836925E-4</v>
      </c>
      <c r="V25" s="15">
        <f t="shared" si="33"/>
        <v>-6881.25</v>
      </c>
      <c r="W25" s="15" t="e">
        <v>#N/A</v>
      </c>
      <c r="X25" s="16" t="e">
        <f t="shared" si="25"/>
        <v>#N/A</v>
      </c>
    </row>
    <row r="26" spans="1:24" ht="14" x14ac:dyDescent="0.3">
      <c r="A26" s="14" t="s">
        <v>28</v>
      </c>
      <c r="B26" s="15">
        <v>58905.599999999999</v>
      </c>
      <c r="C26" s="16">
        <f t="shared" si="18"/>
        <v>1.2957508427954615E-3</v>
      </c>
      <c r="D26" s="15">
        <v>80052.706771976154</v>
      </c>
      <c r="E26" s="16">
        <f t="shared" si="19"/>
        <v>1.5234696478026789E-3</v>
      </c>
      <c r="F26" s="17">
        <v>62750.999999999978</v>
      </c>
      <c r="G26" s="16">
        <f t="shared" si="20"/>
        <v>1.2067062302338189E-3</v>
      </c>
      <c r="H26" s="15">
        <v>112738.928</v>
      </c>
      <c r="I26" s="16">
        <f t="shared" si="21"/>
        <v>2.5554805385953408E-3</v>
      </c>
      <c r="J26" s="15">
        <v>95688.007999999987</v>
      </c>
      <c r="K26" s="16">
        <f>J26/J15</f>
        <v>1.6474993129705798E-3</v>
      </c>
      <c r="L26" s="15">
        <v>102485.552</v>
      </c>
      <c r="M26" s="16">
        <f>L26/L15</f>
        <v>1.7120041341325608E-3</v>
      </c>
      <c r="N26" s="15">
        <v>114981.25599999999</v>
      </c>
      <c r="O26" s="16">
        <f>N26/N15</f>
        <v>1.5892979597187775E-3</v>
      </c>
      <c r="P26" s="15">
        <v>112492.12000000001</v>
      </c>
      <c r="Q26" s="16">
        <f t="shared" si="22"/>
        <v>1.753261329154462E-3</v>
      </c>
      <c r="R26" s="15">
        <v>185994.63999999996</v>
      </c>
      <c r="S26" s="16">
        <f t="shared" si="23"/>
        <v>2.3544728900877256E-3</v>
      </c>
      <c r="T26" s="15">
        <v>135223.50400000004</v>
      </c>
      <c r="U26" s="16">
        <f t="shared" si="24"/>
        <v>1.6705289749510521E-3</v>
      </c>
      <c r="V26" s="15">
        <f t="shared" si="33"/>
        <v>-50771.135999999911</v>
      </c>
      <c r="W26" s="15" t="e">
        <v>#N/A</v>
      </c>
      <c r="X26" s="16" t="e">
        <f t="shared" si="25"/>
        <v>#N/A</v>
      </c>
    </row>
    <row r="27" spans="1:24" ht="14" x14ac:dyDescent="0.3">
      <c r="A27" s="14" t="s">
        <v>29</v>
      </c>
      <c r="B27" s="15">
        <v>723545.48728000012</v>
      </c>
      <c r="C27" s="16">
        <f t="shared" si="18"/>
        <v>1.5915883633201476E-2</v>
      </c>
      <c r="D27" s="15">
        <v>886993.62443413411</v>
      </c>
      <c r="E27" s="16">
        <f t="shared" si="19"/>
        <v>1.6880227029286921E-2</v>
      </c>
      <c r="F27" s="17">
        <v>575362.12276000006</v>
      </c>
      <c r="G27" s="16">
        <f t="shared" si="20"/>
        <v>1.1064254883189871E-2</v>
      </c>
      <c r="H27" s="15">
        <v>455643.22500000021</v>
      </c>
      <c r="I27" s="16">
        <f t="shared" si="21"/>
        <v>1.0328175144882686E-2</v>
      </c>
      <c r="J27" s="15">
        <v>575869.38140000007</v>
      </c>
      <c r="K27" s="16">
        <f>J27/J15</f>
        <v>9.9149771224968236E-3</v>
      </c>
      <c r="L27" s="15">
        <v>374564.5525999997</v>
      </c>
      <c r="M27" s="16">
        <f>L27/L15</f>
        <v>6.2570386755658259E-3</v>
      </c>
      <c r="N27" s="15">
        <v>589912.40759999992</v>
      </c>
      <c r="O27" s="16">
        <f>N27/N15</f>
        <v>8.1539080231605027E-3</v>
      </c>
      <c r="P27" s="15">
        <v>646473.37820000004</v>
      </c>
      <c r="Q27" s="16">
        <f t="shared" si="22"/>
        <v>1.007569929632322E-2</v>
      </c>
      <c r="R27" s="15">
        <v>828659.43619999976</v>
      </c>
      <c r="S27" s="16">
        <f t="shared" si="23"/>
        <v>1.0489851630392569E-2</v>
      </c>
      <c r="T27" s="15">
        <v>722809.48399999994</v>
      </c>
      <c r="U27" s="16">
        <f t="shared" si="24"/>
        <v>8.929469734724655E-3</v>
      </c>
      <c r="V27" s="15">
        <f t="shared" si="33"/>
        <v>-105849.95219999983</v>
      </c>
      <c r="W27" s="15" t="e">
        <v>#N/A</v>
      </c>
      <c r="X27" s="16" t="e">
        <f t="shared" si="25"/>
        <v>#N/A</v>
      </c>
    </row>
    <row r="28" spans="1:24" ht="14" x14ac:dyDescent="0.3">
      <c r="A28" s="14" t="s">
        <v>30</v>
      </c>
      <c r="B28" s="15">
        <v>732884.69990000001</v>
      </c>
      <c r="C28" s="16">
        <f t="shared" si="18"/>
        <v>1.6121318984397472E-2</v>
      </c>
      <c r="D28" s="15">
        <v>863851.86595994199</v>
      </c>
      <c r="E28" s="16">
        <f t="shared" si="19"/>
        <v>1.6439820101728113E-2</v>
      </c>
      <c r="F28" s="17">
        <v>554763.60175000003</v>
      </c>
      <c r="G28" s="16">
        <f t="shared" si="20"/>
        <v>1.0668143846929583E-2</v>
      </c>
      <c r="H28" s="15">
        <v>513051.38964999985</v>
      </c>
      <c r="I28" s="16">
        <f t="shared" si="21"/>
        <v>1.1629459892947268E-2</v>
      </c>
      <c r="J28" s="15">
        <v>689882.44075000007</v>
      </c>
      <c r="K28" s="16">
        <f>J28/J15</f>
        <v>1.1877986290257939E-2</v>
      </c>
      <c r="L28" s="15">
        <v>904760.84959999996</v>
      </c>
      <c r="M28" s="16">
        <f>L28/L15</f>
        <v>1.5113879807336044E-2</v>
      </c>
      <c r="N28" s="15">
        <v>955475.33750000014</v>
      </c>
      <c r="O28" s="16">
        <f>N28/N15</f>
        <v>1.3206804806953583E-2</v>
      </c>
      <c r="P28" s="15">
        <v>1127076.2877500001</v>
      </c>
      <c r="Q28" s="16">
        <f t="shared" si="22"/>
        <v>1.7566201706564352E-2</v>
      </c>
      <c r="R28" s="15">
        <v>1328253.5122500001</v>
      </c>
      <c r="S28" s="16">
        <f t="shared" si="23"/>
        <v>1.6814123706771499E-2</v>
      </c>
      <c r="T28" s="15">
        <v>1221601.6045000001</v>
      </c>
      <c r="U28" s="16">
        <f t="shared" si="24"/>
        <v>1.5091465727466618E-2</v>
      </c>
      <c r="V28" s="15">
        <f t="shared" si="33"/>
        <v>-106651.90775000001</v>
      </c>
      <c r="W28" s="15" t="e">
        <v>#N/A</v>
      </c>
      <c r="X28" s="16" t="e">
        <f t="shared" si="25"/>
        <v>#N/A</v>
      </c>
    </row>
    <row r="29" spans="1:24" ht="14" x14ac:dyDescent="0.3">
      <c r="A29" s="14" t="s">
        <v>31</v>
      </c>
      <c r="B29" s="15">
        <v>2467467.6844228348</v>
      </c>
      <c r="C29" s="16">
        <f t="shared" si="18"/>
        <v>5.4277069271197541E-2</v>
      </c>
      <c r="D29" s="15">
        <v>2616133.1209073951</v>
      </c>
      <c r="E29" s="16">
        <f t="shared" si="19"/>
        <v>4.9787191027361254E-2</v>
      </c>
      <c r="F29" s="17">
        <v>2626353.4699999993</v>
      </c>
      <c r="G29" s="16">
        <f t="shared" si="20"/>
        <v>5.0504965578958248E-2</v>
      </c>
      <c r="H29" s="15">
        <v>2037991.484100003</v>
      </c>
      <c r="I29" s="16">
        <f t="shared" si="21"/>
        <v>4.6195645708468985E-2</v>
      </c>
      <c r="J29" s="15">
        <v>2803736.0394693739</v>
      </c>
      <c r="K29" s="16">
        <f>J29/J15</f>
        <v>4.8273062584568052E-2</v>
      </c>
      <c r="L29" s="15">
        <v>3018206.4727999987</v>
      </c>
      <c r="M29" s="16">
        <f>L29/L15</f>
        <v>5.0418638122759513E-2</v>
      </c>
      <c r="N29" s="15">
        <v>3261461.1827464062</v>
      </c>
      <c r="O29" s="16">
        <f>N29/N15</f>
        <v>4.5080683441489404E-2</v>
      </c>
      <c r="P29" s="15">
        <v>2593670.4173397012</v>
      </c>
      <c r="Q29" s="16">
        <f t="shared" si="22"/>
        <v>4.0424005195151561E-2</v>
      </c>
      <c r="R29" s="15">
        <v>3563799.5468539023</v>
      </c>
      <c r="S29" s="16">
        <f t="shared" si="23"/>
        <v>4.5113501221188075E-2</v>
      </c>
      <c r="T29" s="15">
        <v>3599278.6958697801</v>
      </c>
      <c r="U29" s="16">
        <f t="shared" si="24"/>
        <v>4.4464898279625277E-2</v>
      </c>
      <c r="V29" s="15">
        <f t="shared" si="33"/>
        <v>35479.149015877862</v>
      </c>
      <c r="W29" s="15" t="e">
        <v>#N/A</v>
      </c>
      <c r="X29" s="16" t="e">
        <f t="shared" si="25"/>
        <v>#N/A</v>
      </c>
    </row>
    <row r="30" spans="1:24" ht="14" x14ac:dyDescent="0.3">
      <c r="A30" s="10" t="s">
        <v>32</v>
      </c>
      <c r="B30" s="11">
        <f>B15-B16</f>
        <v>30789655.569264311</v>
      </c>
      <c r="C30" s="12">
        <f t="shared" si="18"/>
        <v>0.67728233229533696</v>
      </c>
      <c r="D30" s="11">
        <f t="shared" ref="D30:W30" si="34">D15-D16</f>
        <v>35788797.586886212</v>
      </c>
      <c r="E30" s="12">
        <f t="shared" si="19"/>
        <v>0.68109060959399914</v>
      </c>
      <c r="F30" s="13">
        <f t="shared" ref="F30" si="35">F15-F16</f>
        <v>35362232.215156198</v>
      </c>
      <c r="G30" s="12">
        <f t="shared" si="20"/>
        <v>0.68001826152577738</v>
      </c>
      <c r="H30" s="11">
        <f t="shared" ref="H30:J30" si="36">H15-H16</f>
        <v>29295040.442119047</v>
      </c>
      <c r="I30" s="12">
        <f t="shared" si="21"/>
        <v>0.66403776455279651</v>
      </c>
      <c r="J30" s="11">
        <f t="shared" si="36"/>
        <v>38853122.697929204</v>
      </c>
      <c r="K30" s="12">
        <f>J30/J15</f>
        <v>0.66895000000000016</v>
      </c>
      <c r="L30" s="11">
        <f t="shared" ref="L30" si="37">L15-L16</f>
        <v>40078269.683163822</v>
      </c>
      <c r="M30" s="12">
        <f>L30/L15</f>
        <v>0.66950084228902962</v>
      </c>
      <c r="N30" s="11">
        <f t="shared" ref="N30" si="38">N15-N16</f>
        <v>48845539.385822222</v>
      </c>
      <c r="O30" s="12">
        <f>N30/N15</f>
        <v>0.67515453203303366</v>
      </c>
      <c r="P30" s="11">
        <f t="shared" ref="P30:R30" si="39">P15-P16</f>
        <v>43272809.730341852</v>
      </c>
      <c r="Q30" s="12">
        <f t="shared" si="22"/>
        <v>0.67443429730071125</v>
      </c>
      <c r="R30" s="11">
        <f t="shared" si="39"/>
        <v>53537875.468561403</v>
      </c>
      <c r="S30" s="12">
        <f t="shared" si="23"/>
        <v>0.67772639245744148</v>
      </c>
      <c r="T30" s="11">
        <f t="shared" ref="T30" si="40">T15-T16</f>
        <v>55467357.640653357</v>
      </c>
      <c r="U30" s="12">
        <f t="shared" si="24"/>
        <v>0.68523463275056107</v>
      </c>
      <c r="V30" s="11">
        <f t="shared" si="34"/>
        <v>1929482.1720919525</v>
      </c>
      <c r="W30" s="11" t="e">
        <f t="shared" si="34"/>
        <v>#N/A</v>
      </c>
      <c r="X30" s="12" t="e">
        <f t="shared" si="25"/>
        <v>#N/A</v>
      </c>
    </row>
    <row r="31" spans="1:24" ht="14" x14ac:dyDescent="0.3">
      <c r="A31" s="35" t="s">
        <v>33</v>
      </c>
      <c r="B31" s="36">
        <f>B33+B39+B46+B37+B38</f>
        <v>30423358.911500059</v>
      </c>
      <c r="C31" s="37">
        <f t="shared" si="18"/>
        <v>0.66922487760493088</v>
      </c>
      <c r="D31" s="36">
        <f>D33+D39+D46+D37+D38</f>
        <v>33832473.72855448</v>
      </c>
      <c r="E31" s="37">
        <f t="shared" si="19"/>
        <v>0.64386013807565246</v>
      </c>
      <c r="F31" s="38">
        <f>F33+F39+F46+F37+F38</f>
        <v>32436186.155241214</v>
      </c>
      <c r="G31" s="37">
        <f t="shared" si="20"/>
        <v>0.6237501859500808</v>
      </c>
      <c r="H31" s="36">
        <f>H33+H39+H46+H37+H38</f>
        <v>31265814.90622865</v>
      </c>
      <c r="I31" s="37">
        <f t="shared" si="21"/>
        <v>0.70870978581764976</v>
      </c>
      <c r="J31" s="36">
        <f>J33+J39+J46+J37+J38</f>
        <v>33324851.53863883</v>
      </c>
      <c r="K31" s="37">
        <f>J31/J15</f>
        <v>0.57376750924477438</v>
      </c>
      <c r="L31" s="36">
        <f>L33+L39+L46+L37+L38</f>
        <v>34894086.471268684</v>
      </c>
      <c r="M31" s="37">
        <f>L31/L15</f>
        <v>0.58289992227968923</v>
      </c>
      <c r="N31" s="36">
        <f>N33+N39+N46+N37+N38</f>
        <v>37610288.009195611</v>
      </c>
      <c r="O31" s="37">
        <f>N31/N15</f>
        <v>0.51985824539479886</v>
      </c>
      <c r="P31" s="36">
        <f>P33+P39+P46+P37+P38</f>
        <v>36132177.373630956</v>
      </c>
      <c r="Q31" s="37">
        <f t="shared" si="22"/>
        <v>0.56314299461452932</v>
      </c>
      <c r="R31" s="36">
        <f>R33+R39+R46+R37+R38</f>
        <v>40095494.747462958</v>
      </c>
      <c r="S31" s="37">
        <f t="shared" si="23"/>
        <v>0.5075616985390351</v>
      </c>
      <c r="T31" s="36">
        <f>T33+T39+T46+T37+T38</f>
        <v>40733834.018100753</v>
      </c>
      <c r="U31" s="37">
        <f t="shared" si="24"/>
        <v>0.50321910004701642</v>
      </c>
      <c r="V31" s="36">
        <f>V33+V39+V46+V37+V38</f>
        <v>638339.27063779277</v>
      </c>
      <c r="W31" s="36" t="e">
        <f>W33+W39+W46+W37+W38</f>
        <v>#N/A</v>
      </c>
      <c r="X31" s="37" t="e">
        <f t="shared" si="25"/>
        <v>#N/A</v>
      </c>
    </row>
    <row r="32" spans="1:24" ht="14" x14ac:dyDescent="0.3">
      <c r="A32" s="14"/>
      <c r="B32" s="39"/>
      <c r="C32" s="40"/>
      <c r="D32" s="39"/>
      <c r="E32" s="40"/>
      <c r="F32" s="41"/>
      <c r="G32" s="40"/>
      <c r="H32" s="39"/>
      <c r="I32" s="40"/>
      <c r="J32" s="39"/>
      <c r="K32" s="40"/>
      <c r="L32" s="39"/>
      <c r="M32" s="40"/>
      <c r="N32" s="39"/>
      <c r="O32" s="40"/>
      <c r="P32" s="39"/>
      <c r="Q32" s="40"/>
      <c r="R32" s="39"/>
      <c r="S32" s="40"/>
      <c r="T32" s="39"/>
      <c r="U32" s="40"/>
      <c r="V32" s="39"/>
      <c r="W32" s="39"/>
      <c r="X32" s="40"/>
    </row>
    <row r="33" spans="1:24" ht="14" x14ac:dyDescent="0.3">
      <c r="A33" s="10" t="s">
        <v>34</v>
      </c>
      <c r="B33" s="11">
        <v>7874492.0795333311</v>
      </c>
      <c r="C33" s="12">
        <f t="shared" ref="C33:C64" si="41">B33/$B$15</f>
        <v>0.17321578506358479</v>
      </c>
      <c r="D33" s="11">
        <f t="shared" ref="D33:W33" si="42">SUM(D34:D36)</f>
        <v>7912645.1304419367</v>
      </c>
      <c r="E33" s="12">
        <f t="shared" ref="E33:E64" si="43">D33/$D$15</f>
        <v>0.15058422352161999</v>
      </c>
      <c r="F33" s="13">
        <f t="shared" ref="F33" si="44">SUM(F34:F36)</f>
        <v>8182777.7474999996</v>
      </c>
      <c r="G33" s="12">
        <f t="shared" ref="G33:G65" si="45">F33/$F$15</f>
        <v>0.15735540291831057</v>
      </c>
      <c r="H33" s="11">
        <f t="shared" ref="H33:J33" si="46">SUM(H34:H36)</f>
        <v>8706367.0388387106</v>
      </c>
      <c r="I33" s="12">
        <f t="shared" ref="I33:I65" si="47">H33/$H$15</f>
        <v>0.19734932666399199</v>
      </c>
      <c r="J33" s="11">
        <f t="shared" si="46"/>
        <v>8201622.5161290327</v>
      </c>
      <c r="K33" s="12">
        <f>J33/J15</f>
        <v>0.14121066728201323</v>
      </c>
      <c r="L33" s="11">
        <f t="shared" ref="L33" si="48">SUM(L34:L36)</f>
        <v>8738360.6338333338</v>
      </c>
      <c r="M33" s="12">
        <f>L33/L15</f>
        <v>0.1459728638692788</v>
      </c>
      <c r="N33" s="11">
        <f t="shared" ref="N33" si="49">SUM(N34:N36)</f>
        <v>9270066.6400000006</v>
      </c>
      <c r="O33" s="12">
        <f>N33/N15</f>
        <v>0.12813304107070378</v>
      </c>
      <c r="P33" s="11">
        <f t="shared" ref="P33:R33" si="50">SUM(P34:P36)</f>
        <v>9205223.4866666682</v>
      </c>
      <c r="Q33" s="12">
        <f t="shared" ref="Q33:Q61" si="51">P33/$P$15</f>
        <v>0.14346927025108136</v>
      </c>
      <c r="R33" s="11">
        <f t="shared" si="50"/>
        <v>9754251.6879999973</v>
      </c>
      <c r="S33" s="12">
        <f t="shared" ref="S33:S65" si="52">R33/$R$15</f>
        <v>0.12347732796218447</v>
      </c>
      <c r="T33" s="11">
        <f t="shared" ref="T33" si="53">SUM(T34:T36)</f>
        <v>9642059.2343548369</v>
      </c>
      <c r="U33" s="12">
        <f t="shared" ref="U33:U61" si="54">T33/$T$15</f>
        <v>0.11911641728485388</v>
      </c>
      <c r="V33" s="11">
        <f t="shared" si="42"/>
        <v>-112192.45364515967</v>
      </c>
      <c r="W33" s="11" t="e">
        <f t="shared" si="42"/>
        <v>#N/A</v>
      </c>
      <c r="X33" s="12" t="e">
        <f t="shared" ref="X33:X65" si="55">W33/$R$15</f>
        <v>#N/A</v>
      </c>
    </row>
    <row r="34" spans="1:24" ht="14" x14ac:dyDescent="0.3">
      <c r="A34" s="14" t="s">
        <v>35</v>
      </c>
      <c r="B34" s="15">
        <v>7594047.0795333311</v>
      </c>
      <c r="C34" s="16">
        <f t="shared" si="41"/>
        <v>0.1670468156428884</v>
      </c>
      <c r="D34" s="15">
        <v>7574868.4912419366</v>
      </c>
      <c r="E34" s="16">
        <f t="shared" si="43"/>
        <v>0.14415605290368233</v>
      </c>
      <c r="F34" s="17">
        <v>7801134.7474999996</v>
      </c>
      <c r="G34" s="16">
        <f t="shared" si="45"/>
        <v>0.15001638065850395</v>
      </c>
      <c r="H34" s="15">
        <v>8258119.0038387096</v>
      </c>
      <c r="I34" s="16">
        <f t="shared" si="47"/>
        <v>0.18718878007882217</v>
      </c>
      <c r="J34" s="15">
        <v>7680929.5161290327</v>
      </c>
      <c r="K34" s="16">
        <f>J34/J15</f>
        <v>0.13224568433693418</v>
      </c>
      <c r="L34" s="15">
        <v>8440168.8938333336</v>
      </c>
      <c r="M34" s="16">
        <f>L34/L15</f>
        <v>0.14099162035073695</v>
      </c>
      <c r="N34" s="15">
        <v>8880712</v>
      </c>
      <c r="O34" s="16">
        <f>N34/N15</f>
        <v>0.12275128967498898</v>
      </c>
      <c r="P34" s="15">
        <v>8884153.1166666672</v>
      </c>
      <c r="Q34" s="16">
        <f t="shared" si="51"/>
        <v>0.13846518406568173</v>
      </c>
      <c r="R34" s="15">
        <v>9258998.6879999973</v>
      </c>
      <c r="S34" s="16">
        <f t="shared" si="52"/>
        <v>0.11720800879129536</v>
      </c>
      <c r="T34" s="15">
        <v>9312885.5343548376</v>
      </c>
      <c r="U34" s="16">
        <f t="shared" si="54"/>
        <v>0.11504985942046186</v>
      </c>
      <c r="V34" s="15">
        <f>T34-R34</f>
        <v>53886.846354840323</v>
      </c>
      <c r="W34" s="15" t="e">
        <v>#N/A</v>
      </c>
      <c r="X34" s="16" t="e">
        <f t="shared" si="55"/>
        <v>#N/A</v>
      </c>
    </row>
    <row r="35" spans="1:24" ht="14" x14ac:dyDescent="0.3">
      <c r="A35" s="14" t="s">
        <v>36</v>
      </c>
      <c r="B35" s="15">
        <v>26410</v>
      </c>
      <c r="C35" s="16">
        <f t="shared" si="41"/>
        <v>5.8094272460051564E-4</v>
      </c>
      <c r="D35" s="15">
        <v>58157</v>
      </c>
      <c r="E35" s="16">
        <f t="shared" si="43"/>
        <v>1.1067761213825254E-3</v>
      </c>
      <c r="F35" s="17">
        <v>92428</v>
      </c>
      <c r="G35" s="16">
        <f t="shared" si="45"/>
        <v>1.7773970685415602E-3</v>
      </c>
      <c r="H35" s="15">
        <v>144130.995</v>
      </c>
      <c r="I35" s="16">
        <f t="shared" si="47"/>
        <v>3.2670521111472905E-3</v>
      </c>
      <c r="J35" s="15">
        <v>130926</v>
      </c>
      <c r="K35" s="16">
        <f>J35/J15</f>
        <v>2.2542061388715101E-3</v>
      </c>
      <c r="L35" s="15">
        <v>36830.559999999998</v>
      </c>
      <c r="M35" s="16">
        <f>L35/L15</f>
        <v>6.1524839113338945E-4</v>
      </c>
      <c r="N35" s="15">
        <v>29847</v>
      </c>
      <c r="O35" s="16">
        <f>N35/N15</f>
        <v>4.1255225289699697E-4</v>
      </c>
      <c r="P35" s="15">
        <v>14307.8</v>
      </c>
      <c r="Q35" s="16">
        <f t="shared" si="51"/>
        <v>2.2299617471229283E-4</v>
      </c>
      <c r="R35" s="15">
        <v>77899</v>
      </c>
      <c r="S35" s="16">
        <f t="shared" si="52"/>
        <v>9.861095118920834E-4</v>
      </c>
      <c r="T35" s="15">
        <v>31545</v>
      </c>
      <c r="U35" s="16">
        <f t="shared" si="54"/>
        <v>3.8970175269848742E-4</v>
      </c>
      <c r="V35" s="15">
        <f>T35-R35</f>
        <v>-46354</v>
      </c>
      <c r="W35" s="15" t="e">
        <v>#N/A</v>
      </c>
      <c r="X35" s="16" t="e">
        <f t="shared" si="55"/>
        <v>#N/A</v>
      </c>
    </row>
    <row r="36" spans="1:24" ht="14" x14ac:dyDescent="0.3">
      <c r="A36" s="14" t="s">
        <v>37</v>
      </c>
      <c r="B36" s="15">
        <v>254035</v>
      </c>
      <c r="C36" s="16">
        <f t="shared" si="41"/>
        <v>5.5880266960958731E-3</v>
      </c>
      <c r="D36" s="15">
        <v>279619.63919999998</v>
      </c>
      <c r="E36" s="16">
        <f t="shared" si="43"/>
        <v>5.3213944965551374E-3</v>
      </c>
      <c r="F36" s="17">
        <v>289215</v>
      </c>
      <c r="G36" s="16">
        <f t="shared" si="45"/>
        <v>5.5616251912650634E-3</v>
      </c>
      <c r="H36" s="15">
        <v>304117.04000000004</v>
      </c>
      <c r="I36" s="16">
        <f t="shared" si="47"/>
        <v>6.8934944740225044E-3</v>
      </c>
      <c r="J36" s="15">
        <v>389767</v>
      </c>
      <c r="K36" s="16">
        <f>J36/J15</f>
        <v>6.7107768062075667E-3</v>
      </c>
      <c r="L36" s="15">
        <v>261361.18</v>
      </c>
      <c r="M36" s="16">
        <f>L36/L15</f>
        <v>4.3659951274084407E-3</v>
      </c>
      <c r="N36" s="15">
        <v>359507.64</v>
      </c>
      <c r="O36" s="16">
        <f>N36/N15</f>
        <v>4.9691991428177894E-3</v>
      </c>
      <c r="P36" s="15">
        <v>306762.57</v>
      </c>
      <c r="Q36" s="16">
        <f t="shared" si="51"/>
        <v>4.7810900106873147E-3</v>
      </c>
      <c r="R36" s="15">
        <v>417354</v>
      </c>
      <c r="S36" s="16">
        <f t="shared" si="52"/>
        <v>5.2832096589970163E-3</v>
      </c>
      <c r="T36" s="15">
        <v>297628.7</v>
      </c>
      <c r="U36" s="16">
        <f t="shared" si="54"/>
        <v>3.6768561116935269E-3</v>
      </c>
      <c r="V36" s="15">
        <f>T36-R36</f>
        <v>-119725.29999999999</v>
      </c>
      <c r="W36" s="15" t="e">
        <v>#N/A</v>
      </c>
      <c r="X36" s="16" t="e">
        <f t="shared" si="55"/>
        <v>#N/A</v>
      </c>
    </row>
    <row r="37" spans="1:24" ht="14" x14ac:dyDescent="0.3">
      <c r="A37" s="42" t="s">
        <v>38</v>
      </c>
      <c r="B37" s="43">
        <v>7167909.9728028579</v>
      </c>
      <c r="C37" s="44">
        <f t="shared" si="41"/>
        <v>0.15767304616778874</v>
      </c>
      <c r="D37" s="43">
        <v>7105955.2027495429</v>
      </c>
      <c r="E37" s="44">
        <f t="shared" si="43"/>
        <v>0.13523224268819087</v>
      </c>
      <c r="F37" s="45">
        <v>7180840.0135448379</v>
      </c>
      <c r="G37" s="44">
        <f t="shared" si="45"/>
        <v>0.13808806843965607</v>
      </c>
      <c r="H37" s="43">
        <v>7054775.3175418712</v>
      </c>
      <c r="I37" s="44">
        <f t="shared" si="47"/>
        <v>0.15991229780135055</v>
      </c>
      <c r="J37" s="43">
        <v>7084136.2237829715</v>
      </c>
      <c r="K37" s="44">
        <f>J37/J15</f>
        <v>0.12197045173803225</v>
      </c>
      <c r="L37" s="43">
        <v>7092000.3548409138</v>
      </c>
      <c r="M37" s="44">
        <f>L37/L15</f>
        <v>0.1184706886952927</v>
      </c>
      <c r="N37" s="43">
        <v>7131801.8214062853</v>
      </c>
      <c r="O37" s="44">
        <f>N37/N15</f>
        <v>9.8577441908267824E-2</v>
      </c>
      <c r="P37" s="43">
        <v>7120061.3161600567</v>
      </c>
      <c r="Q37" s="44">
        <f t="shared" si="51"/>
        <v>0.11097068991883208</v>
      </c>
      <c r="R37" s="43">
        <v>7243551.5300282286</v>
      </c>
      <c r="S37" s="44">
        <f t="shared" si="52"/>
        <v>9.1694823600319525E-2</v>
      </c>
      <c r="T37" s="43">
        <v>7261590.7285701139</v>
      </c>
      <c r="U37" s="44">
        <f t="shared" si="54"/>
        <v>8.9708500057151988E-2</v>
      </c>
      <c r="V37" s="43">
        <f>T37-R37</f>
        <v>18039.198541885242</v>
      </c>
      <c r="W37" s="43" t="e">
        <v>#N/A</v>
      </c>
      <c r="X37" s="44" t="e">
        <f t="shared" si="55"/>
        <v>#N/A</v>
      </c>
    </row>
    <row r="38" spans="1:24" ht="14" x14ac:dyDescent="0.3">
      <c r="A38" s="46" t="s">
        <v>39</v>
      </c>
      <c r="B38" s="47">
        <v>7740714.0900000036</v>
      </c>
      <c r="C38" s="48">
        <f t="shared" si="41"/>
        <v>0.17027306072692933</v>
      </c>
      <c r="D38" s="47">
        <v>9670804.6100000031</v>
      </c>
      <c r="E38" s="48">
        <f t="shared" si="43"/>
        <v>0.18404346195477844</v>
      </c>
      <c r="F38" s="49">
        <v>8867700.2883300036</v>
      </c>
      <c r="G38" s="48">
        <f t="shared" si="45"/>
        <v>0.17052651249819206</v>
      </c>
      <c r="H38" s="47">
        <v>6556753.4900000012</v>
      </c>
      <c r="I38" s="48">
        <f t="shared" si="47"/>
        <v>0.14862351662650264</v>
      </c>
      <c r="J38" s="47">
        <v>9427918.6956900004</v>
      </c>
      <c r="K38" s="48">
        <f>J38/J15</f>
        <v>0.1623243068649915</v>
      </c>
      <c r="L38" s="47">
        <v>10600026.120800005</v>
      </c>
      <c r="M38" s="48">
        <f>L38/L15</f>
        <v>0.1770716768030165</v>
      </c>
      <c r="N38" s="47">
        <v>13072705.039819989</v>
      </c>
      <c r="O38" s="48">
        <f>N38/N15</f>
        <v>0.18069400327120527</v>
      </c>
      <c r="P38" s="47">
        <v>11978142.217480006</v>
      </c>
      <c r="Q38" s="48">
        <f t="shared" si="51"/>
        <v>0.18668697456337535</v>
      </c>
      <c r="R38" s="47">
        <v>15153429.529450022</v>
      </c>
      <c r="S38" s="48">
        <f t="shared" si="52"/>
        <v>0.19182455483096117</v>
      </c>
      <c r="T38" s="47">
        <v>16010816.742120026</v>
      </c>
      <c r="U38" s="48">
        <f t="shared" si="54"/>
        <v>0.19779500226782248</v>
      </c>
      <c r="V38" s="47">
        <f>T38-R38</f>
        <v>857387.212670004</v>
      </c>
      <c r="W38" s="47" t="e">
        <v>#N/A</v>
      </c>
      <c r="X38" s="48" t="e">
        <f t="shared" si="55"/>
        <v>#N/A</v>
      </c>
    </row>
    <row r="39" spans="1:24" ht="14" x14ac:dyDescent="0.3">
      <c r="A39" s="10" t="s">
        <v>40</v>
      </c>
      <c r="B39" s="11">
        <f>SUM(B40:B45)</f>
        <v>5419833.9824971985</v>
      </c>
      <c r="C39" s="12">
        <f t="shared" si="41"/>
        <v>0.11922048923416835</v>
      </c>
      <c r="D39" s="11">
        <f t="shared" ref="D39:W39" si="56">SUM(D40:D45)</f>
        <v>6776183.4325629976</v>
      </c>
      <c r="E39" s="12">
        <f t="shared" si="43"/>
        <v>0.12895641139103808</v>
      </c>
      <c r="F39" s="13">
        <f t="shared" ref="F39" si="57">SUM(F40:F45)</f>
        <v>5785796.4591997052</v>
      </c>
      <c r="G39" s="12">
        <f t="shared" si="45"/>
        <v>0.11126128084303127</v>
      </c>
      <c r="H39" s="11">
        <f t="shared" ref="H39:J39" si="58">SUM(H40:H45)</f>
        <v>6475055.1931813983</v>
      </c>
      <c r="I39" s="12">
        <f t="shared" si="47"/>
        <v>0.14677164157979009</v>
      </c>
      <c r="J39" s="11">
        <f t="shared" si="58"/>
        <v>5840505.4197034929</v>
      </c>
      <c r="K39" s="12">
        <f>J39/J15</f>
        <v>0.10055835488144402</v>
      </c>
      <c r="L39" s="11">
        <f t="shared" ref="L39" si="59">SUM(L40:L45)</f>
        <v>5434942.1684611011</v>
      </c>
      <c r="M39" s="12">
        <f>L39/L15</f>
        <v>9.0789806754192917E-2</v>
      </c>
      <c r="N39" s="11">
        <f t="shared" ref="N39" si="60">SUM(N40:N45)</f>
        <v>5353992.1746359989</v>
      </c>
      <c r="O39" s="12">
        <f>N39/N15</f>
        <v>7.4004138896337099E-2</v>
      </c>
      <c r="P39" s="11">
        <f t="shared" ref="P39:R39" si="61">SUM(P40:P45)</f>
        <v>5083363.2305908911</v>
      </c>
      <c r="Q39" s="12">
        <f t="shared" si="51"/>
        <v>7.9227453213973606E-2</v>
      </c>
      <c r="R39" s="11">
        <f t="shared" si="61"/>
        <v>4990365.6466513779</v>
      </c>
      <c r="S39" s="12">
        <f t="shared" si="52"/>
        <v>6.3172146394464779E-2</v>
      </c>
      <c r="T39" s="11">
        <f t="shared" ref="T39" si="62">SUM(T40:T45)</f>
        <v>4940207.9097224409</v>
      </c>
      <c r="U39" s="12">
        <f t="shared" si="54"/>
        <v>6.103051770847253E-2</v>
      </c>
      <c r="V39" s="11">
        <f t="shared" si="56"/>
        <v>-50157.736928936924</v>
      </c>
      <c r="W39" s="11" t="e">
        <f t="shared" si="56"/>
        <v>#N/A</v>
      </c>
      <c r="X39" s="12" t="e">
        <f t="shared" si="55"/>
        <v>#N/A</v>
      </c>
    </row>
    <row r="40" spans="1:24" ht="14" x14ac:dyDescent="0.3">
      <c r="A40" s="14" t="s">
        <v>41</v>
      </c>
      <c r="B40" s="15">
        <v>343494.59819664969</v>
      </c>
      <c r="C40" s="16">
        <f t="shared" si="41"/>
        <v>7.5558760985202974E-3</v>
      </c>
      <c r="D40" s="15">
        <v>508501.56744599983</v>
      </c>
      <c r="E40" s="16">
        <f t="shared" si="43"/>
        <v>9.677208118280144E-3</v>
      </c>
      <c r="F40" s="17">
        <v>409489.2570881999</v>
      </c>
      <c r="G40" s="16">
        <f t="shared" si="45"/>
        <v>7.8745077806273833E-3</v>
      </c>
      <c r="H40" s="15">
        <v>403439.1933999997</v>
      </c>
      <c r="I40" s="16">
        <f t="shared" si="47"/>
        <v>9.1448537388993199E-3</v>
      </c>
      <c r="J40" s="15">
        <v>513120.09541149199</v>
      </c>
      <c r="K40" s="16">
        <f>J40/J15</f>
        <v>8.8345971698128734E-3</v>
      </c>
      <c r="L40" s="15">
        <v>387777.37542651885</v>
      </c>
      <c r="M40" s="16">
        <f>L40/L15</f>
        <v>6.4777566876282654E-3</v>
      </c>
      <c r="N40" s="15">
        <v>297236.33761999983</v>
      </c>
      <c r="O40" s="16">
        <f>N40/N15</f>
        <v>4.1084705574424016E-3</v>
      </c>
      <c r="P40" s="15">
        <v>196835.70252999986</v>
      </c>
      <c r="Q40" s="16">
        <f t="shared" si="51"/>
        <v>3.0678097758562988E-3</v>
      </c>
      <c r="R40" s="15">
        <v>269286.04796999978</v>
      </c>
      <c r="S40" s="16">
        <f t="shared" si="52"/>
        <v>3.4088439302564174E-3</v>
      </c>
      <c r="T40" s="15">
        <v>329762.08663999964</v>
      </c>
      <c r="U40" s="16">
        <f t="shared" si="54"/>
        <v>4.0738266963740158E-3</v>
      </c>
      <c r="V40" s="15">
        <f t="shared" ref="V40:V45" si="63">T40-R40</f>
        <v>60476.038669999863</v>
      </c>
      <c r="W40" s="15" t="e">
        <v>#N/A</v>
      </c>
      <c r="X40" s="16" t="e">
        <f t="shared" si="55"/>
        <v>#N/A</v>
      </c>
    </row>
    <row r="41" spans="1:24" ht="14" x14ac:dyDescent="0.3">
      <c r="A41" s="14" t="s">
        <v>42</v>
      </c>
      <c r="B41" s="15">
        <v>110429.56005054998</v>
      </c>
      <c r="C41" s="16">
        <f t="shared" si="41"/>
        <v>2.4291272053086998E-3</v>
      </c>
      <c r="D41" s="15">
        <v>87591.505996999971</v>
      </c>
      <c r="E41" s="16">
        <f t="shared" si="43"/>
        <v>1.6669392725452456E-3</v>
      </c>
      <c r="F41" s="17">
        <v>94160.930901510452</v>
      </c>
      <c r="G41" s="16">
        <f t="shared" si="45"/>
        <v>1.8107214540560121E-3</v>
      </c>
      <c r="H41" s="15">
        <v>109158.18586139995</v>
      </c>
      <c r="I41" s="16">
        <f t="shared" si="47"/>
        <v>2.4743149908005215E-3</v>
      </c>
      <c r="J41" s="15">
        <v>161397.40263999996</v>
      </c>
      <c r="K41" s="16">
        <f>J41/J15</f>
        <v>2.7788446590364386E-3</v>
      </c>
      <c r="L41" s="15">
        <v>135351.75003458126</v>
      </c>
      <c r="M41" s="16">
        <f>L41/L15</f>
        <v>2.2610285166955054E-3</v>
      </c>
      <c r="N41" s="15">
        <v>149654.66752000002</v>
      </c>
      <c r="O41" s="16">
        <f>N41/N15</f>
        <v>2.0685620076365146E-3</v>
      </c>
      <c r="P41" s="15">
        <v>144247.79634999999</v>
      </c>
      <c r="Q41" s="16">
        <f t="shared" si="51"/>
        <v>2.2481937682053031E-3</v>
      </c>
      <c r="R41" s="15">
        <v>179408.95420433496</v>
      </c>
      <c r="S41" s="16">
        <f t="shared" si="52"/>
        <v>2.271105871185842E-3</v>
      </c>
      <c r="T41" s="15">
        <v>204559.88218479994</v>
      </c>
      <c r="U41" s="16">
        <f t="shared" si="54"/>
        <v>2.5270992112605048E-3</v>
      </c>
      <c r="V41" s="15">
        <f t="shared" si="63"/>
        <v>25150.92798046497</v>
      </c>
      <c r="W41" s="15" t="e">
        <v>#N/A</v>
      </c>
      <c r="X41" s="16" t="e">
        <f t="shared" si="55"/>
        <v>#N/A</v>
      </c>
    </row>
    <row r="42" spans="1:24" ht="14" x14ac:dyDescent="0.3">
      <c r="A42" s="14" t="s">
        <v>43</v>
      </c>
      <c r="B42" s="15">
        <v>2508356.209999999</v>
      </c>
      <c r="C42" s="16">
        <f t="shared" si="41"/>
        <v>5.5176497194472651E-2</v>
      </c>
      <c r="D42" s="15">
        <v>3155677.9699999983</v>
      </c>
      <c r="E42" s="16">
        <f t="shared" si="43"/>
        <v>6.0055178636602292E-2</v>
      </c>
      <c r="F42" s="17">
        <v>2875867.5458099982</v>
      </c>
      <c r="G42" s="16">
        <f t="shared" si="45"/>
        <v>5.5303139150868805E-2</v>
      </c>
      <c r="H42" s="15">
        <v>3310614.9164299993</v>
      </c>
      <c r="I42" s="16">
        <f t="shared" si="47"/>
        <v>7.5042508739486188E-2</v>
      </c>
      <c r="J42" s="15">
        <v>2718148.6933573699</v>
      </c>
      <c r="K42" s="16">
        <f>J42/J15</f>
        <v>4.6799470471348373E-2</v>
      </c>
      <c r="L42" s="15">
        <v>2501348.7400000002</v>
      </c>
      <c r="M42" s="16">
        <f>L42/L15</f>
        <v>4.1784615491823399E-2</v>
      </c>
      <c r="N42" s="15">
        <v>2408051.7941999985</v>
      </c>
      <c r="O42" s="16">
        <f>N42/N15</f>
        <v>3.3284658183062456E-2</v>
      </c>
      <c r="P42" s="15">
        <v>2236376.0133962249</v>
      </c>
      <c r="Q42" s="16">
        <f t="shared" si="51"/>
        <v>3.4855344371998873E-2</v>
      </c>
      <c r="R42" s="15">
        <v>1923120.0705471691</v>
      </c>
      <c r="S42" s="16">
        <f t="shared" si="52"/>
        <v>2.4344433100259796E-2</v>
      </c>
      <c r="T42" s="15">
        <v>1964205.3099774846</v>
      </c>
      <c r="U42" s="16">
        <f t="shared" si="54"/>
        <v>2.426547002561108E-2</v>
      </c>
      <c r="V42" s="15">
        <f t="shared" si="63"/>
        <v>41085.23943031556</v>
      </c>
      <c r="W42" s="15" t="e">
        <v>#N/A</v>
      </c>
      <c r="X42" s="16" t="e">
        <f t="shared" si="55"/>
        <v>#N/A</v>
      </c>
    </row>
    <row r="43" spans="1:24" ht="14" x14ac:dyDescent="0.3">
      <c r="A43" s="14" t="s">
        <v>44</v>
      </c>
      <c r="B43" s="15">
        <v>1787630.5556999992</v>
      </c>
      <c r="C43" s="16">
        <f t="shared" si="41"/>
        <v>3.9322641636027694E-2</v>
      </c>
      <c r="D43" s="15">
        <v>2319114.62812</v>
      </c>
      <c r="E43" s="16">
        <f t="shared" si="43"/>
        <v>4.4134681863784782E-2</v>
      </c>
      <c r="F43" s="17">
        <v>2021042.0219999971</v>
      </c>
      <c r="G43" s="16">
        <f t="shared" si="45"/>
        <v>3.8864783023565393E-2</v>
      </c>
      <c r="H43" s="15">
        <v>2114544.5316899996</v>
      </c>
      <c r="I43" s="16">
        <f t="shared" si="47"/>
        <v>4.7930892146916579E-2</v>
      </c>
      <c r="J43" s="15">
        <v>1839484.1138426312</v>
      </c>
      <c r="K43" s="16">
        <f>J43/J15</f>
        <v>3.1671145393433534E-2</v>
      </c>
      <c r="L43" s="15">
        <v>2070380.3558000007</v>
      </c>
      <c r="M43" s="16">
        <f>L43/L15</f>
        <v>3.4585360172099608E-2</v>
      </c>
      <c r="N43" s="15">
        <v>2117468.0667999997</v>
      </c>
      <c r="O43" s="16">
        <f>N43/N15</f>
        <v>2.9268141568525776E-2</v>
      </c>
      <c r="P43" s="15">
        <v>2064251.6995999999</v>
      </c>
      <c r="Q43" s="16">
        <f t="shared" si="51"/>
        <v>3.2172677326643438E-2</v>
      </c>
      <c r="R43" s="15">
        <v>2207302.4322499996</v>
      </c>
      <c r="S43" s="16">
        <f t="shared" si="52"/>
        <v>2.7941846802452607E-2</v>
      </c>
      <c r="T43" s="15">
        <v>2102702.1509201573</v>
      </c>
      <c r="U43" s="16">
        <f t="shared" si="54"/>
        <v>2.5976437267917728E-2</v>
      </c>
      <c r="V43" s="15">
        <f t="shared" si="63"/>
        <v>-104600.28132984228</v>
      </c>
      <c r="W43" s="15" t="e">
        <v>#N/A</v>
      </c>
      <c r="X43" s="16" t="e">
        <f t="shared" si="55"/>
        <v>#N/A</v>
      </c>
    </row>
    <row r="44" spans="1:24" ht="14" x14ac:dyDescent="0.3">
      <c r="A44" s="14" t="s">
        <v>45</v>
      </c>
      <c r="B44" s="15">
        <v>451052.04454999993</v>
      </c>
      <c r="C44" s="16">
        <f t="shared" si="41"/>
        <v>9.9218252062669501E-3</v>
      </c>
      <c r="D44" s="15">
        <v>518452.45499999984</v>
      </c>
      <c r="E44" s="16">
        <f t="shared" si="43"/>
        <v>9.8665817918074886E-3</v>
      </c>
      <c r="F44" s="17">
        <v>195061.32839999997</v>
      </c>
      <c r="G44" s="16">
        <f t="shared" si="45"/>
        <v>3.7510433340977034E-3</v>
      </c>
      <c r="H44" s="15">
        <v>337165.36579999991</v>
      </c>
      <c r="I44" s="16">
        <f t="shared" si="47"/>
        <v>7.6426088652384464E-3</v>
      </c>
      <c r="J44" s="15">
        <v>306257.27445199998</v>
      </c>
      <c r="K44" s="16">
        <f>J44/J15</f>
        <v>5.2729559304015641E-3</v>
      </c>
      <c r="L44" s="15">
        <v>190883.76080000005</v>
      </c>
      <c r="M44" s="16">
        <f>L44/L15</f>
        <v>3.1886815385291671E-3</v>
      </c>
      <c r="N44" s="15">
        <v>211806.30849599998</v>
      </c>
      <c r="O44" s="16">
        <f>N44/N15</f>
        <v>2.9276366049459292E-3</v>
      </c>
      <c r="P44" s="15">
        <v>264464.51871466666</v>
      </c>
      <c r="Q44" s="16">
        <f t="shared" si="51"/>
        <v>4.1218479445126605E-3</v>
      </c>
      <c r="R44" s="15">
        <v>160961.141679875</v>
      </c>
      <c r="S44" s="16">
        <f t="shared" si="52"/>
        <v>2.037578311089154E-3</v>
      </c>
      <c r="T44" s="15">
        <v>117970.47999999997</v>
      </c>
      <c r="U44" s="16">
        <f t="shared" si="54"/>
        <v>1.4573879480957947E-3</v>
      </c>
      <c r="V44" s="15">
        <f t="shared" si="63"/>
        <v>-42990.661679875033</v>
      </c>
      <c r="W44" s="15" t="e">
        <v>#N/A</v>
      </c>
      <c r="X44" s="16" t="e">
        <f t="shared" si="55"/>
        <v>#N/A</v>
      </c>
    </row>
    <row r="45" spans="1:24" ht="14" x14ac:dyDescent="0.3">
      <c r="A45" s="14" t="s">
        <v>46</v>
      </c>
      <c r="B45" s="15">
        <v>218871.014</v>
      </c>
      <c r="C45" s="16">
        <f t="shared" si="41"/>
        <v>4.8145218935720414E-3</v>
      </c>
      <c r="D45" s="15">
        <v>186845.30600000001</v>
      </c>
      <c r="E45" s="16">
        <f t="shared" si="43"/>
        <v>3.5558217080181426E-3</v>
      </c>
      <c r="F45" s="17">
        <v>190175.375</v>
      </c>
      <c r="G45" s="16">
        <f t="shared" si="45"/>
        <v>3.6570860998159853E-3</v>
      </c>
      <c r="H45" s="15">
        <v>200133</v>
      </c>
      <c r="I45" s="16">
        <f t="shared" si="47"/>
        <v>4.5364630984490234E-3</v>
      </c>
      <c r="J45" s="15">
        <v>302097.83999999997</v>
      </c>
      <c r="K45" s="16">
        <f>J45/J15</f>
        <v>5.2013412574112329E-3</v>
      </c>
      <c r="L45" s="15">
        <v>149200.18640000001</v>
      </c>
      <c r="M45" s="16">
        <f>L45/L15</f>
        <v>2.4923643474169771E-3</v>
      </c>
      <c r="N45" s="15">
        <v>169775</v>
      </c>
      <c r="O45" s="16">
        <f>N45/N15</f>
        <v>2.3466699747240146E-3</v>
      </c>
      <c r="P45" s="15">
        <v>177187.5</v>
      </c>
      <c r="Q45" s="16">
        <f t="shared" si="51"/>
        <v>2.7615800267570406E-3</v>
      </c>
      <c r="R45" s="15">
        <v>250287</v>
      </c>
      <c r="S45" s="16">
        <f t="shared" si="52"/>
        <v>3.1683383792209642E-3</v>
      </c>
      <c r="T45" s="15">
        <v>221008</v>
      </c>
      <c r="U45" s="16">
        <f t="shared" si="54"/>
        <v>2.7302965592134192E-3</v>
      </c>
      <c r="V45" s="15">
        <f t="shared" si="63"/>
        <v>-29279</v>
      </c>
      <c r="W45" s="15" t="e">
        <v>#N/A</v>
      </c>
      <c r="X45" s="16" t="e">
        <f t="shared" si="55"/>
        <v>#N/A</v>
      </c>
    </row>
    <row r="46" spans="1:24" ht="14" x14ac:dyDescent="0.3">
      <c r="A46" s="35" t="s">
        <v>47</v>
      </c>
      <c r="B46" s="36">
        <f>SUM(B47:B57)</f>
        <v>2220408.7866666666</v>
      </c>
      <c r="C46" s="37">
        <f t="shared" si="41"/>
        <v>4.8842496412459614E-2</v>
      </c>
      <c r="D46" s="36">
        <f>SUM(D47:D57)</f>
        <v>2366885.3527999995</v>
      </c>
      <c r="E46" s="37">
        <f t="shared" si="43"/>
        <v>4.5043798520024998E-2</v>
      </c>
      <c r="F46" s="38">
        <f>SUM(F47:F57)</f>
        <v>2419071.6466666665</v>
      </c>
      <c r="G46" s="37">
        <f t="shared" si="45"/>
        <v>4.6518921250890834E-2</v>
      </c>
      <c r="H46" s="36">
        <f>SUM(H47:H57)</f>
        <v>2472863.8666666662</v>
      </c>
      <c r="I46" s="37">
        <f t="shared" si="47"/>
        <v>5.6053003146014392E-2</v>
      </c>
      <c r="J46" s="36">
        <f>SUM(J47:J57)</f>
        <v>2770668.6833333331</v>
      </c>
      <c r="K46" s="37">
        <f>J46/J15</f>
        <v>4.7703728478293413E-2</v>
      </c>
      <c r="L46" s="36">
        <f>SUM(L47:L57)</f>
        <v>3028757.1933333334</v>
      </c>
      <c r="M46" s="37">
        <f>L46/L15</f>
        <v>5.0594886157908373E-2</v>
      </c>
      <c r="N46" s="36">
        <f>SUM(N47:N57)</f>
        <v>2781722.333333333</v>
      </c>
      <c r="O46" s="37">
        <f>N46/N15</f>
        <v>3.8449620248284848E-2</v>
      </c>
      <c r="P46" s="36">
        <f>SUM(P47:P57)</f>
        <v>2745387.1227333331</v>
      </c>
      <c r="Q46" s="37">
        <f t="shared" si="51"/>
        <v>4.2788606667266894E-2</v>
      </c>
      <c r="R46" s="36">
        <f>SUM(R47:R57)</f>
        <v>2953896.353333333</v>
      </c>
      <c r="S46" s="37">
        <f t="shared" si="52"/>
        <v>3.7392845751105123E-2</v>
      </c>
      <c r="T46" s="36">
        <f>SUM(T47:T57)</f>
        <v>2879159.4033333333</v>
      </c>
      <c r="U46" s="37">
        <f t="shared" si="54"/>
        <v>3.5568662728715526E-2</v>
      </c>
      <c r="V46" s="36">
        <f>SUM(V47:V57)</f>
        <v>-74736.949999999924</v>
      </c>
      <c r="W46" s="36" t="e">
        <f>SUM(W47:W57)</f>
        <v>#N/A</v>
      </c>
      <c r="X46" s="37" t="e">
        <f t="shared" si="55"/>
        <v>#N/A</v>
      </c>
    </row>
    <row r="47" spans="1:24" ht="14" x14ac:dyDescent="0.3">
      <c r="A47" s="14" t="s">
        <v>48</v>
      </c>
      <c r="B47" s="15">
        <v>219563.87</v>
      </c>
      <c r="C47" s="16">
        <f t="shared" si="41"/>
        <v>4.8297626982822198E-3</v>
      </c>
      <c r="D47" s="15">
        <v>215141.91680000001</v>
      </c>
      <c r="E47" s="16">
        <f t="shared" si="43"/>
        <v>4.0943297663687261E-3</v>
      </c>
      <c r="F47" s="17">
        <v>176200</v>
      </c>
      <c r="G47" s="16">
        <f t="shared" si="45"/>
        <v>3.3883386363117549E-3</v>
      </c>
      <c r="H47" s="15">
        <v>166161.99</v>
      </c>
      <c r="I47" s="16">
        <f t="shared" si="47"/>
        <v>3.7664340013883546E-3</v>
      </c>
      <c r="J47" s="15">
        <v>248878.73000000004</v>
      </c>
      <c r="K47" s="16">
        <f>J47/J15</f>
        <v>4.2850462169511409E-3</v>
      </c>
      <c r="L47" s="15">
        <v>355568.82</v>
      </c>
      <c r="M47" s="16">
        <f>L47/L15</f>
        <v>5.9397181156680152E-3</v>
      </c>
      <c r="N47" s="15">
        <v>287273</v>
      </c>
      <c r="O47" s="16">
        <f>N47/N15</f>
        <v>3.9707549618547599E-3</v>
      </c>
      <c r="P47" s="15">
        <v>302489.3</v>
      </c>
      <c r="Q47" s="16">
        <f t="shared" si="51"/>
        <v>4.7144883763680758E-3</v>
      </c>
      <c r="R47" s="15">
        <v>342469.82</v>
      </c>
      <c r="S47" s="16">
        <f t="shared" si="52"/>
        <v>4.3352642144054441E-3</v>
      </c>
      <c r="T47" s="15">
        <v>269265.82</v>
      </c>
      <c r="U47" s="16">
        <f t="shared" si="54"/>
        <v>3.3264657472117745E-3</v>
      </c>
      <c r="V47" s="15">
        <f t="shared" ref="V47:V57" si="64">T47-R47</f>
        <v>-73204</v>
      </c>
      <c r="W47" s="15" t="e">
        <v>#N/A</v>
      </c>
      <c r="X47" s="16" t="e">
        <f t="shared" si="55"/>
        <v>#N/A</v>
      </c>
    </row>
    <row r="48" spans="1:24" ht="14" x14ac:dyDescent="0.3">
      <c r="A48" s="14" t="s">
        <v>49</v>
      </c>
      <c r="B48" s="15">
        <v>55066.666666666708</v>
      </c>
      <c r="C48" s="16">
        <f t="shared" si="41"/>
        <v>1.211305542143194E-3</v>
      </c>
      <c r="D48" s="15">
        <v>53100.000000000036</v>
      </c>
      <c r="E48" s="16">
        <f t="shared" si="43"/>
        <v>1.0105372018056665E-3</v>
      </c>
      <c r="F48" s="17">
        <v>59066.666666666715</v>
      </c>
      <c r="G48" s="16">
        <f t="shared" si="45"/>
        <v>1.1358562360091629E-3</v>
      </c>
      <c r="H48" s="15">
        <v>56366.666666666708</v>
      </c>
      <c r="I48" s="16">
        <f t="shared" si="47"/>
        <v>1.2776768614666755E-3</v>
      </c>
      <c r="J48" s="15">
        <v>54083.333333333372</v>
      </c>
      <c r="K48" s="16">
        <f>J48/J15</f>
        <v>9.3117472473484451E-4</v>
      </c>
      <c r="L48" s="15">
        <v>57083.333333333372</v>
      </c>
      <c r="M48" s="16">
        <f>L48/L15</f>
        <v>9.5356760781981976E-4</v>
      </c>
      <c r="N48" s="15">
        <v>55733.333333333372</v>
      </c>
      <c r="O48" s="16">
        <f>N48/N15</f>
        <v>7.7035923972680609E-4</v>
      </c>
      <c r="P48" s="15">
        <v>55633.333333333372</v>
      </c>
      <c r="Q48" s="16">
        <f t="shared" si="51"/>
        <v>8.6708092927125294E-4</v>
      </c>
      <c r="R48" s="15">
        <v>59483.333333333379</v>
      </c>
      <c r="S48" s="16">
        <f t="shared" si="52"/>
        <v>7.529888804612058E-4</v>
      </c>
      <c r="T48" s="15">
        <v>57083.333333333379</v>
      </c>
      <c r="U48" s="16">
        <f t="shared" si="54"/>
        <v>7.0519813123702665E-4</v>
      </c>
      <c r="V48" s="15">
        <f t="shared" si="64"/>
        <v>-2400</v>
      </c>
      <c r="W48" s="15" t="e">
        <v>#N/A</v>
      </c>
      <c r="X48" s="16" t="e">
        <f t="shared" si="55"/>
        <v>#N/A</v>
      </c>
    </row>
    <row r="49" spans="1:24" ht="14" x14ac:dyDescent="0.3">
      <c r="A49" s="14" t="s">
        <v>50</v>
      </c>
      <c r="B49" s="15">
        <v>16274</v>
      </c>
      <c r="C49" s="16">
        <f t="shared" si="41"/>
        <v>3.5798038243653132E-4</v>
      </c>
      <c r="D49" s="15">
        <v>38206.959999999999</v>
      </c>
      <c r="E49" s="16">
        <f t="shared" si="43"/>
        <v>7.2711025325613936E-4</v>
      </c>
      <c r="F49" s="17">
        <v>53147.08</v>
      </c>
      <c r="G49" s="16">
        <f t="shared" si="45"/>
        <v>1.0220221598816785E-3</v>
      </c>
      <c r="H49" s="15">
        <v>75082.63</v>
      </c>
      <c r="I49" s="16">
        <f t="shared" si="47"/>
        <v>1.7019161274227719E-3</v>
      </c>
      <c r="J49" s="15">
        <v>52293</v>
      </c>
      <c r="K49" s="16">
        <f>J49/J15</f>
        <v>9.0034982830001587E-4</v>
      </c>
      <c r="L49" s="15">
        <v>24992.86</v>
      </c>
      <c r="M49" s="16">
        <f>L49/L15</f>
        <v>4.1750157762526676E-4</v>
      </c>
      <c r="N49" s="15">
        <v>32223</v>
      </c>
      <c r="O49" s="16">
        <f>N49/N15</f>
        <v>4.4539388364324504E-4</v>
      </c>
      <c r="P49" s="15">
        <v>23084.7</v>
      </c>
      <c r="Q49" s="16">
        <f t="shared" si="51"/>
        <v>3.5978975065215242E-4</v>
      </c>
      <c r="R49" s="15">
        <v>18088</v>
      </c>
      <c r="S49" s="16">
        <f t="shared" si="52"/>
        <v>2.2897275768756986E-4</v>
      </c>
      <c r="T49" s="15">
        <v>13621.65</v>
      </c>
      <c r="U49" s="16">
        <f t="shared" si="54"/>
        <v>1.6827962845602633E-4</v>
      </c>
      <c r="V49" s="15">
        <f t="shared" si="64"/>
        <v>-4466.3500000000004</v>
      </c>
      <c r="W49" s="15" t="e">
        <v>#N/A</v>
      </c>
      <c r="X49" s="16" t="e">
        <f t="shared" si="55"/>
        <v>#N/A</v>
      </c>
    </row>
    <row r="50" spans="1:24" ht="14" x14ac:dyDescent="0.3">
      <c r="A50" s="14" t="s">
        <v>51</v>
      </c>
      <c r="B50" s="15">
        <v>169605</v>
      </c>
      <c r="C50" s="16">
        <f t="shared" si="41"/>
        <v>3.7308137374430315E-3</v>
      </c>
      <c r="D50" s="15">
        <v>141420</v>
      </c>
      <c r="E50" s="16">
        <f t="shared" si="43"/>
        <v>2.6913403216451458E-3</v>
      </c>
      <c r="F50" s="17">
        <v>156525</v>
      </c>
      <c r="G50" s="16">
        <f t="shared" si="45"/>
        <v>3.0099869753047528E-3</v>
      </c>
      <c r="H50" s="15">
        <v>145466</v>
      </c>
      <c r="I50" s="16">
        <f t="shared" si="47"/>
        <v>3.2973129922550786E-3</v>
      </c>
      <c r="J50" s="15">
        <v>154576</v>
      </c>
      <c r="K50" s="16">
        <f>J50/J15</f>
        <v>2.6613977981623398E-3</v>
      </c>
      <c r="L50" s="15">
        <v>152073</v>
      </c>
      <c r="M50" s="16">
        <f>L50/L15</f>
        <v>2.5403542217340151E-3</v>
      </c>
      <c r="N50" s="15">
        <v>141042.5</v>
      </c>
      <c r="O50" s="16">
        <f>N50/N15</f>
        <v>1.9495226029156933E-3</v>
      </c>
      <c r="P50" s="15">
        <v>148896</v>
      </c>
      <c r="Q50" s="16">
        <f t="shared" si="51"/>
        <v>2.3206389822307801E-3</v>
      </c>
      <c r="R50" s="15">
        <v>148155</v>
      </c>
      <c r="S50" s="16">
        <f t="shared" si="52"/>
        <v>1.8754676534277926E-3</v>
      </c>
      <c r="T50" s="15">
        <v>147593</v>
      </c>
      <c r="U50" s="16">
        <f t="shared" si="54"/>
        <v>1.8233396983999954E-3</v>
      </c>
      <c r="V50" s="15">
        <f t="shared" si="64"/>
        <v>-562</v>
      </c>
      <c r="W50" s="15" t="e">
        <v>#N/A</v>
      </c>
      <c r="X50" s="16" t="e">
        <f t="shared" si="55"/>
        <v>#N/A</v>
      </c>
    </row>
    <row r="51" spans="1:24" ht="14" x14ac:dyDescent="0.3">
      <c r="A51" s="14" t="s">
        <v>52</v>
      </c>
      <c r="B51" s="15">
        <v>180115.19999999984</v>
      </c>
      <c r="C51" s="16">
        <f t="shared" si="41"/>
        <v>3.9620073847015033E-3</v>
      </c>
      <c r="D51" s="15">
        <v>183513.59999999983</v>
      </c>
      <c r="E51" s="16">
        <f t="shared" si="43"/>
        <v>3.4924165694403776E-3</v>
      </c>
      <c r="F51" s="17">
        <v>183513.59999999983</v>
      </c>
      <c r="G51" s="16">
        <f t="shared" si="45"/>
        <v>3.5289796888119201E-3</v>
      </c>
      <c r="H51" s="15">
        <v>190310.39999999982</v>
      </c>
      <c r="I51" s="16">
        <f t="shared" si="47"/>
        <v>4.3138118493755264E-3</v>
      </c>
      <c r="J51" s="15">
        <v>176916.79999999984</v>
      </c>
      <c r="K51" s="16">
        <f>J51/J15</f>
        <v>3.0460484291088309E-3</v>
      </c>
      <c r="L51" s="15">
        <v>186911.99999999983</v>
      </c>
      <c r="M51" s="16">
        <f>L51/L15</f>
        <v>3.1223339336552036E-3</v>
      </c>
      <c r="N51" s="15">
        <v>93455.999999999913</v>
      </c>
      <c r="O51" s="16">
        <f>N51/N15</f>
        <v>1.2917708093524213E-3</v>
      </c>
      <c r="P51" s="15">
        <v>93455.999999999913</v>
      </c>
      <c r="Q51" s="16">
        <f t="shared" si="51"/>
        <v>1.4565712760810201E-3</v>
      </c>
      <c r="R51" s="15">
        <v>187431.99999999983</v>
      </c>
      <c r="S51" s="16">
        <f t="shared" si="52"/>
        <v>2.3726681733136088E-3</v>
      </c>
      <c r="T51" s="15">
        <v>186911.99999999983</v>
      </c>
      <c r="U51" s="16">
        <f t="shared" si="54"/>
        <v>2.3090801711960567E-3</v>
      </c>
      <c r="V51" s="15">
        <f t="shared" si="64"/>
        <v>-520</v>
      </c>
      <c r="W51" s="15" t="e">
        <v>#N/A</v>
      </c>
      <c r="X51" s="16" t="e">
        <f t="shared" si="55"/>
        <v>#N/A</v>
      </c>
    </row>
    <row r="52" spans="1:24" ht="14" x14ac:dyDescent="0.3">
      <c r="A52" s="14" t="s">
        <v>53</v>
      </c>
      <c r="B52" s="15">
        <v>326594</v>
      </c>
      <c r="C52" s="16">
        <f t="shared" si="41"/>
        <v>7.1841123891776149E-3</v>
      </c>
      <c r="D52" s="15">
        <v>469206.29599999997</v>
      </c>
      <c r="E52" s="16">
        <f t="shared" si="43"/>
        <v>8.9293863922681911E-3</v>
      </c>
      <c r="F52" s="17">
        <v>446396</v>
      </c>
      <c r="G52" s="16">
        <f t="shared" si="45"/>
        <v>8.5842270936153358E-3</v>
      </c>
      <c r="H52" s="15">
        <v>428024.18</v>
      </c>
      <c r="I52" s="16">
        <f t="shared" si="47"/>
        <v>9.7021275742326472E-3</v>
      </c>
      <c r="J52" s="15">
        <v>253949</v>
      </c>
      <c r="K52" s="16">
        <f>J52/J15</f>
        <v>4.3723431156552639E-3</v>
      </c>
      <c r="L52" s="15">
        <v>300731</v>
      </c>
      <c r="M52" s="16">
        <f>L52/L15</f>
        <v>5.0236614353388965E-3</v>
      </c>
      <c r="N52" s="15">
        <v>331852.7</v>
      </c>
      <c r="O52" s="16">
        <f>N52/N15</f>
        <v>4.5869460587312384E-3</v>
      </c>
      <c r="P52" s="15">
        <v>438305.75939999998</v>
      </c>
      <c r="Q52" s="16">
        <f t="shared" si="51"/>
        <v>6.8312743888345228E-3</v>
      </c>
      <c r="R52" s="15">
        <v>355202.6</v>
      </c>
      <c r="S52" s="16">
        <f t="shared" si="52"/>
        <v>4.4964461996790574E-3</v>
      </c>
      <c r="T52" s="15">
        <v>386276</v>
      </c>
      <c r="U52" s="16">
        <f t="shared" si="54"/>
        <v>4.7719903067161493E-3</v>
      </c>
      <c r="V52" s="15">
        <f t="shared" si="64"/>
        <v>31073.400000000023</v>
      </c>
      <c r="W52" s="15" t="e">
        <v>#N/A</v>
      </c>
      <c r="X52" s="16" t="e">
        <f t="shared" si="55"/>
        <v>#N/A</v>
      </c>
    </row>
    <row r="53" spans="1:24" ht="14" x14ac:dyDescent="0.3">
      <c r="A53" s="14" t="s">
        <v>54</v>
      </c>
      <c r="B53" s="15">
        <v>1445</v>
      </c>
      <c r="C53" s="16">
        <f t="shared" si="41"/>
        <v>3.1785771944253889E-5</v>
      </c>
      <c r="D53" s="15">
        <v>4866.380000000001</v>
      </c>
      <c r="E53" s="16">
        <f t="shared" si="43"/>
        <v>9.2611262299869241E-5</v>
      </c>
      <c r="F53" s="17">
        <v>41892.28</v>
      </c>
      <c r="G53" s="16">
        <f t="shared" si="45"/>
        <v>8.0559154873547224E-4</v>
      </c>
      <c r="H53" s="15">
        <v>75264</v>
      </c>
      <c r="I53" s="16">
        <f t="shared" si="47"/>
        <v>1.7060272850637692E-3</v>
      </c>
      <c r="J53" s="15">
        <v>55338.8</v>
      </c>
      <c r="K53" s="16">
        <f>J53/J15</f>
        <v>9.5279060444665475E-4</v>
      </c>
      <c r="L53" s="15">
        <v>52693</v>
      </c>
      <c r="M53" s="16">
        <f>L53/L15</f>
        <v>8.8022781825722156E-4</v>
      </c>
      <c r="N53" s="15">
        <v>49767</v>
      </c>
      <c r="O53" s="16">
        <f>N53/N15</f>
        <v>6.8789117733523801E-4</v>
      </c>
      <c r="P53" s="15">
        <v>129822</v>
      </c>
      <c r="Q53" s="16">
        <f t="shared" si="51"/>
        <v>2.0233585452340179E-3</v>
      </c>
      <c r="R53" s="15">
        <v>30619</v>
      </c>
      <c r="S53" s="16">
        <f t="shared" si="52"/>
        <v>3.8760044602143418E-4</v>
      </c>
      <c r="T53" s="15">
        <v>30819</v>
      </c>
      <c r="U53" s="16">
        <f t="shared" si="54"/>
        <v>3.8073286785273998E-4</v>
      </c>
      <c r="V53" s="15">
        <f t="shared" si="64"/>
        <v>200</v>
      </c>
      <c r="W53" s="15" t="e">
        <v>#N/A</v>
      </c>
      <c r="X53" s="16" t="e">
        <f t="shared" si="55"/>
        <v>#N/A</v>
      </c>
    </row>
    <row r="54" spans="1:24" ht="14" x14ac:dyDescent="0.3">
      <c r="A54" s="14" t="s">
        <v>55</v>
      </c>
      <c r="B54" s="15">
        <v>322361.05</v>
      </c>
      <c r="C54" s="16">
        <f t="shared" si="41"/>
        <v>7.0909998747475597E-3</v>
      </c>
      <c r="D54" s="15">
        <v>370084.2</v>
      </c>
      <c r="E54" s="16">
        <f t="shared" si="43"/>
        <v>7.0430103936061838E-3</v>
      </c>
      <c r="F54" s="17">
        <v>321908.02</v>
      </c>
      <c r="G54" s="16">
        <f t="shared" si="45"/>
        <v>6.190314310468883E-3</v>
      </c>
      <c r="H54" s="15">
        <v>281035</v>
      </c>
      <c r="I54" s="16">
        <f t="shared" si="47"/>
        <v>6.3702882926484957E-3</v>
      </c>
      <c r="J54" s="15">
        <v>383293.2</v>
      </c>
      <c r="K54" s="16">
        <f>J54/J15</f>
        <v>6.5993147612216476E-3</v>
      </c>
      <c r="L54" s="15">
        <v>302787.02</v>
      </c>
      <c r="M54" s="16">
        <f>L54/L15</f>
        <v>5.0580069081510963E-3</v>
      </c>
      <c r="N54" s="15">
        <v>286152.8</v>
      </c>
      <c r="O54" s="16">
        <f>N54/N15</f>
        <v>3.9552712940256578E-3</v>
      </c>
      <c r="P54" s="15">
        <v>261452.03</v>
      </c>
      <c r="Q54" s="16">
        <f t="shared" si="51"/>
        <v>4.0748963894353864E-3</v>
      </c>
      <c r="R54" s="15">
        <v>622655.6</v>
      </c>
      <c r="S54" s="16">
        <f t="shared" si="52"/>
        <v>7.8820859034502665E-3</v>
      </c>
      <c r="T54" s="15">
        <v>280307</v>
      </c>
      <c r="U54" s="16">
        <f t="shared" si="54"/>
        <v>3.4628666728056716E-3</v>
      </c>
      <c r="V54" s="15">
        <f t="shared" si="64"/>
        <v>-342348.6</v>
      </c>
      <c r="W54" s="15" t="e">
        <v>#N/A</v>
      </c>
      <c r="X54" s="16" t="e">
        <f t="shared" si="55"/>
        <v>#N/A</v>
      </c>
    </row>
    <row r="55" spans="1:24" ht="14" x14ac:dyDescent="0.3">
      <c r="A55" s="14" t="s">
        <v>56</v>
      </c>
      <c r="B55" s="15">
        <v>656805</v>
      </c>
      <c r="C55" s="16">
        <f>B55/$B$15</f>
        <v>1.4447788195048909E-2</v>
      </c>
      <c r="D55" s="15">
        <v>666367</v>
      </c>
      <c r="E55" s="16">
        <f>D55/$D$15</f>
        <v>1.2681518711028928E-2</v>
      </c>
      <c r="F55" s="17">
        <v>754345</v>
      </c>
      <c r="G55" s="16">
        <f>F55/$F$15</f>
        <v>1.45061084484029E-2</v>
      </c>
      <c r="H55" s="15">
        <v>830130</v>
      </c>
      <c r="I55" s="16">
        <f>H55/$H$15</f>
        <v>1.881675741589587E-2</v>
      </c>
      <c r="J55" s="15">
        <v>1086060</v>
      </c>
      <c r="K55" s="16">
        <f>J55/J15</f>
        <v>1.8699136299763164E-2</v>
      </c>
      <c r="L55" s="15">
        <v>1299999.1600000001</v>
      </c>
      <c r="M55" s="16">
        <f>L55/L15</f>
        <v>2.1716270175222912E-2</v>
      </c>
      <c r="N55" s="15">
        <v>1205925</v>
      </c>
      <c r="O55" s="16">
        <f>N55/N15</f>
        <v>1.6668578938412941E-2</v>
      </c>
      <c r="P55" s="15">
        <v>1013580</v>
      </c>
      <c r="Q55" s="16">
        <f t="shared" si="51"/>
        <v>1.5797289783536655E-2</v>
      </c>
      <c r="R55" s="15">
        <v>871647</v>
      </c>
      <c r="S55" s="16">
        <f>R55/$R$15</f>
        <v>1.1034023513937263E-2</v>
      </c>
      <c r="T55" s="15">
        <v>1218715</v>
      </c>
      <c r="U55" s="16">
        <f t="shared" si="54"/>
        <v>1.5055805089235602E-2</v>
      </c>
      <c r="V55" s="15">
        <f t="shared" si="64"/>
        <v>347068</v>
      </c>
      <c r="W55" s="15" t="e">
        <v>#N/A</v>
      </c>
      <c r="X55" s="16" t="e">
        <f>W55/$R$15</f>
        <v>#N/A</v>
      </c>
    </row>
    <row r="56" spans="1:24" ht="14" x14ac:dyDescent="0.3">
      <c r="A56" s="14" t="s">
        <v>57</v>
      </c>
      <c r="B56" s="15">
        <v>15442</v>
      </c>
      <c r="C56" s="16">
        <f t="shared" si="41"/>
        <v>3.3967881686032422E-4</v>
      </c>
      <c r="D56" s="15">
        <v>26680</v>
      </c>
      <c r="E56" s="16">
        <f t="shared" si="43"/>
        <v>5.077426091181763E-4</v>
      </c>
      <c r="F56" s="17">
        <v>21129</v>
      </c>
      <c r="G56" s="16">
        <f t="shared" si="45"/>
        <v>4.0631218528167464E-4</v>
      </c>
      <c r="H56" s="15">
        <v>32095</v>
      </c>
      <c r="I56" s="16">
        <f t="shared" si="47"/>
        <v>7.2750512481560472E-4</v>
      </c>
      <c r="J56" s="15">
        <v>48453</v>
      </c>
      <c r="K56" s="16">
        <f>J56/J15</f>
        <v>8.3423498805998257E-4</v>
      </c>
      <c r="L56" s="15">
        <v>41830</v>
      </c>
      <c r="M56" s="16">
        <f>L56/L15</f>
        <v>6.9876320645435972E-4</v>
      </c>
      <c r="N56" s="15">
        <v>51925</v>
      </c>
      <c r="O56" s="16">
        <f>N56/N15</f>
        <v>7.1771956081604748E-4</v>
      </c>
      <c r="P56" s="15">
        <v>20663</v>
      </c>
      <c r="Q56" s="16">
        <f t="shared" si="51"/>
        <v>3.2204601392807466E-4</v>
      </c>
      <c r="R56" s="15">
        <v>60856</v>
      </c>
      <c r="S56" s="16">
        <f t="shared" si="52"/>
        <v>7.7036522234822822E-4</v>
      </c>
      <c r="T56" s="15">
        <v>35122</v>
      </c>
      <c r="U56" s="16">
        <f t="shared" si="54"/>
        <v>4.3389142362581314E-4</v>
      </c>
      <c r="V56" s="15">
        <f t="shared" si="64"/>
        <v>-25734</v>
      </c>
      <c r="W56" s="15" t="e">
        <v>#N/A</v>
      </c>
      <c r="X56" s="16" t="e">
        <f t="shared" si="55"/>
        <v>#N/A</v>
      </c>
    </row>
    <row r="57" spans="1:24" ht="14" x14ac:dyDescent="0.3">
      <c r="A57" s="14" t="s">
        <v>58</v>
      </c>
      <c r="B57" s="15">
        <v>257137</v>
      </c>
      <c r="C57" s="16">
        <f t="shared" si="41"/>
        <v>5.6562616196744716E-3</v>
      </c>
      <c r="D57" s="15">
        <v>198299</v>
      </c>
      <c r="E57" s="16">
        <f t="shared" si="43"/>
        <v>3.7737950391876027E-3</v>
      </c>
      <c r="F57" s="17">
        <v>204949</v>
      </c>
      <c r="G57" s="16">
        <f t="shared" si="45"/>
        <v>3.9411839680672982E-3</v>
      </c>
      <c r="H57" s="15">
        <v>192928</v>
      </c>
      <c r="I57" s="16">
        <f t="shared" si="47"/>
        <v>4.373145621449602E-3</v>
      </c>
      <c r="J57" s="15">
        <v>256826.82</v>
      </c>
      <c r="K57" s="16">
        <f>J57/J15</f>
        <v>4.4218917118895281E-3</v>
      </c>
      <c r="L57" s="15">
        <v>254087</v>
      </c>
      <c r="M57" s="16">
        <f>L57/L15</f>
        <v>4.2444811579815658E-3</v>
      </c>
      <c r="N57" s="15">
        <v>246372</v>
      </c>
      <c r="O57" s="16">
        <f>N57/N15</f>
        <v>3.405411721470799E-3</v>
      </c>
      <c r="P57" s="15">
        <v>258005</v>
      </c>
      <c r="Q57" s="16">
        <f t="shared" si="51"/>
        <v>4.0211722316949574E-3</v>
      </c>
      <c r="R57" s="15">
        <v>257288</v>
      </c>
      <c r="S57" s="16">
        <f t="shared" si="52"/>
        <v>3.2569627863732573E-3</v>
      </c>
      <c r="T57" s="15">
        <v>253444.6</v>
      </c>
      <c r="U57" s="16">
        <f t="shared" si="54"/>
        <v>3.1310129919786675E-3</v>
      </c>
      <c r="V57" s="15">
        <f t="shared" si="64"/>
        <v>-3843.3999999999942</v>
      </c>
      <c r="W57" s="15" t="e">
        <v>#N/A</v>
      </c>
      <c r="X57" s="16" t="e">
        <f t="shared" si="55"/>
        <v>#N/A</v>
      </c>
    </row>
    <row r="58" spans="1:24" ht="14" x14ac:dyDescent="0.3">
      <c r="A58" s="50" t="s">
        <v>59</v>
      </c>
      <c r="B58" s="51">
        <f>B30-B31</f>
        <v>366296.65776425228</v>
      </c>
      <c r="C58" s="52">
        <f t="shared" si="41"/>
        <v>8.0574546904061857E-3</v>
      </c>
      <c r="D58" s="51">
        <f>D30-D31</f>
        <v>1956323.8583317325</v>
      </c>
      <c r="E58" s="52">
        <f t="shared" si="43"/>
        <v>3.7230471518346755E-2</v>
      </c>
      <c r="F58" s="53">
        <f>F30-F31</f>
        <v>2926046.0599149838</v>
      </c>
      <c r="G58" s="52">
        <f t="shared" si="45"/>
        <v>5.6268075575696484E-2</v>
      </c>
      <c r="H58" s="51">
        <f>H30-H31</f>
        <v>-1970774.4641096033</v>
      </c>
      <c r="I58" s="52">
        <f t="shared" si="47"/>
        <v>-4.4672021264853194E-2</v>
      </c>
      <c r="J58" s="51">
        <f>J30-J31</f>
        <v>5528271.1592903733</v>
      </c>
      <c r="K58" s="52">
        <f>J58/J15</f>
        <v>9.5182490755225696E-2</v>
      </c>
      <c r="L58" s="51">
        <f>L30-L31</f>
        <v>5184183.211895138</v>
      </c>
      <c r="M58" s="52">
        <f>L58/L15</f>
        <v>8.6600920009340374E-2</v>
      </c>
      <c r="N58" s="51">
        <f>N30-N31</f>
        <v>11235251.376626611</v>
      </c>
      <c r="O58" s="52">
        <f>N58/N15</f>
        <v>0.15529628663823483</v>
      </c>
      <c r="P58" s="51">
        <f>P30-P31</f>
        <v>7140632.3567108959</v>
      </c>
      <c r="Q58" s="52">
        <f t="shared" si="51"/>
        <v>0.11129130268618195</v>
      </c>
      <c r="R58" s="51">
        <f>R30-R31</f>
        <v>13442380.721098445</v>
      </c>
      <c r="S58" s="52">
        <f t="shared" si="52"/>
        <v>0.17016469391840641</v>
      </c>
      <c r="T58" s="51">
        <f>T30-T31</f>
        <v>14733523.622552603</v>
      </c>
      <c r="U58" s="52">
        <f t="shared" si="54"/>
        <v>0.18201553270354467</v>
      </c>
      <c r="V58" s="51">
        <f>V30-V31</f>
        <v>1291142.9014541598</v>
      </c>
      <c r="W58" s="51" t="e">
        <f>W30-W31</f>
        <v>#N/A</v>
      </c>
      <c r="X58" s="52" t="e">
        <f t="shared" si="55"/>
        <v>#N/A</v>
      </c>
    </row>
    <row r="59" spans="1:24" ht="14" x14ac:dyDescent="0.3">
      <c r="A59" s="10" t="s">
        <v>60</v>
      </c>
      <c r="B59" s="11">
        <f>B67-B62</f>
        <v>4057753.3885876858</v>
      </c>
      <c r="C59" s="12">
        <f t="shared" si="41"/>
        <v>8.9258701602540902E-2</v>
      </c>
      <c r="D59" s="11">
        <f>D67-D62</f>
        <v>5288911.1159999995</v>
      </c>
      <c r="E59" s="12">
        <f t="shared" si="43"/>
        <v>0.10065238116311714</v>
      </c>
      <c r="F59" s="11">
        <f>F67-F62</f>
        <v>4636753.3099999996</v>
      </c>
      <c r="G59" s="12">
        <f t="shared" si="45"/>
        <v>8.916509867945184E-2</v>
      </c>
      <c r="H59" s="11">
        <f>H67-H62</f>
        <v>4278434.3373999996</v>
      </c>
      <c r="I59" s="12">
        <f t="shared" si="47"/>
        <v>9.6980305550570356E-2</v>
      </c>
      <c r="J59" s="11">
        <f>J67</f>
        <v>4050521.9781579999</v>
      </c>
      <c r="K59" s="12">
        <f>J59/J15</f>
        <v>6.9739482675692646E-2</v>
      </c>
      <c r="L59" s="11">
        <f>L67</f>
        <v>4079541.7991599999</v>
      </c>
      <c r="M59" s="12">
        <f>L59/L15</f>
        <v>6.8148068573885473E-2</v>
      </c>
      <c r="N59" s="11">
        <f>N67</f>
        <v>5163977.5309010008</v>
      </c>
      <c r="O59" s="12">
        <f>N59/N15</f>
        <v>7.1377711806301467E-2</v>
      </c>
      <c r="P59" s="11">
        <f>P67-P62</f>
        <v>4529201.8632140011</v>
      </c>
      <c r="Q59" s="12">
        <f t="shared" si="51"/>
        <v>7.0590495393876879E-2</v>
      </c>
      <c r="R59" s="11">
        <f>R67-R62</f>
        <v>6439961.6874679998</v>
      </c>
      <c r="S59" s="12">
        <f t="shared" si="52"/>
        <v>8.1522323473122729E-2</v>
      </c>
      <c r="T59" s="11">
        <f>T67-T62</f>
        <v>5877722.2672950048</v>
      </c>
      <c r="U59" s="12">
        <f t="shared" si="54"/>
        <v>7.2612416213022363E-2</v>
      </c>
      <c r="V59" s="11">
        <f>T59-R59</f>
        <v>-562239.42017299496</v>
      </c>
      <c r="W59" s="11" t="e">
        <f t="shared" ref="W59" si="65">W67</f>
        <v>#N/A</v>
      </c>
      <c r="X59" s="12" t="e">
        <f t="shared" si="55"/>
        <v>#N/A</v>
      </c>
    </row>
    <row r="60" spans="1:24" ht="14" x14ac:dyDescent="0.3">
      <c r="A60" s="54" t="s">
        <v>61</v>
      </c>
      <c r="B60" s="55">
        <f>B58-B59</f>
        <v>-3691456.7308234335</v>
      </c>
      <c r="C60" s="56">
        <f t="shared" si="41"/>
        <v>-8.120124691213472E-2</v>
      </c>
      <c r="D60" s="55">
        <f t="shared" ref="D60:W60" si="66">D58-D59</f>
        <v>-3332587.257668267</v>
      </c>
      <c r="E60" s="56">
        <f t="shared" si="43"/>
        <v>-6.3421909644770388E-2</v>
      </c>
      <c r="F60" s="57">
        <f t="shared" ref="F60" si="67">F58-F59</f>
        <v>-1710707.2500850158</v>
      </c>
      <c r="G60" s="56">
        <f t="shared" si="45"/>
        <v>-3.2897023103755363E-2</v>
      </c>
      <c r="H60" s="55">
        <f t="shared" ref="H60" si="68">H58-H59</f>
        <v>-6249208.8015096029</v>
      </c>
      <c r="I60" s="56">
        <f t="shared" si="47"/>
        <v>-0.14165232681542356</v>
      </c>
      <c r="J60" s="55">
        <f t="shared" ref="J60:R60" si="69">J58-J59</f>
        <v>1477749.1811323734</v>
      </c>
      <c r="K60" s="56">
        <f>J60/J15</f>
        <v>2.5443008079533043E-2</v>
      </c>
      <c r="L60" s="55">
        <f t="shared" ref="L60" si="70">L58-L59</f>
        <v>1104641.4127351381</v>
      </c>
      <c r="M60" s="56">
        <f>L60/L15</f>
        <v>1.8452851435454911E-2</v>
      </c>
      <c r="N60" s="55">
        <f t="shared" ref="N60" si="71">N58-N59</f>
        <v>6071273.8457256099</v>
      </c>
      <c r="O60" s="56">
        <f>N60/N15</f>
        <v>8.3918574831933365E-2</v>
      </c>
      <c r="P60" s="55">
        <f t="shared" ref="P60" si="72">P58-P59</f>
        <v>2611430.4934968948</v>
      </c>
      <c r="Q60" s="56">
        <f t="shared" si="51"/>
        <v>4.0700807292305081E-2</v>
      </c>
      <c r="R60" s="55">
        <f t="shared" si="69"/>
        <v>7002419.0336304456</v>
      </c>
      <c r="S60" s="56">
        <f t="shared" si="52"/>
        <v>8.8642370445283683E-2</v>
      </c>
      <c r="T60" s="55">
        <f t="shared" ref="T60" si="73">T58-T59</f>
        <v>8855801.3552575987</v>
      </c>
      <c r="U60" s="56">
        <f t="shared" si="54"/>
        <v>0.10940311649052231</v>
      </c>
      <c r="V60" s="55">
        <f t="shared" si="66"/>
        <v>1853382.3216271547</v>
      </c>
      <c r="W60" s="55" t="e">
        <f t="shared" si="66"/>
        <v>#N/A</v>
      </c>
      <c r="X60" s="56" t="e">
        <f t="shared" si="55"/>
        <v>#N/A</v>
      </c>
    </row>
    <row r="61" spans="1:24" ht="14" x14ac:dyDescent="0.3">
      <c r="A61" s="58" t="s">
        <v>62</v>
      </c>
      <c r="B61" s="59">
        <f>B92</f>
        <v>9053177</v>
      </c>
      <c r="C61" s="60">
        <f t="shared" si="41"/>
        <v>0.19914340449340109</v>
      </c>
      <c r="D61" s="59">
        <f>D92</f>
        <v>9208435</v>
      </c>
      <c r="E61" s="60">
        <f t="shared" si="43"/>
        <v>0.17524418338812345</v>
      </c>
      <c r="F61" s="61">
        <f>F92</f>
        <v>9311039.3383666668</v>
      </c>
      <c r="G61" s="60">
        <f t="shared" si="45"/>
        <v>0.17905195422478104</v>
      </c>
      <c r="H61" s="59">
        <f>H92</f>
        <v>8591096.4145161286</v>
      </c>
      <c r="I61" s="60">
        <f t="shared" si="47"/>
        <v>0.1947364595527481</v>
      </c>
      <c r="J61" s="59">
        <f>J92-J62</f>
        <v>7209163</v>
      </c>
      <c r="K61" s="60">
        <f>J61/J15</f>
        <v>0.12412308854410393</v>
      </c>
      <c r="L61" s="59">
        <f>L92-L62</f>
        <v>8020781.3233666662</v>
      </c>
      <c r="M61" s="60">
        <f>L61/L15</f>
        <v>0.13398582060207828</v>
      </c>
      <c r="N61" s="59">
        <f>N92-N62</f>
        <v>8159747.4677419309</v>
      </c>
      <c r="O61" s="60">
        <f>N61/N15</f>
        <v>0.11278594836625121</v>
      </c>
      <c r="P61" s="59">
        <f>P92</f>
        <v>8611488.467741929</v>
      </c>
      <c r="Q61" s="60">
        <f t="shared" si="51"/>
        <v>0.13421553186971261</v>
      </c>
      <c r="R61" s="59">
        <f>R92</f>
        <v>8336582.5677419296</v>
      </c>
      <c r="S61" s="60">
        <f t="shared" si="52"/>
        <v>0.10553130806202962</v>
      </c>
      <c r="T61" s="59">
        <f>T92</f>
        <v>7403395.7529946249</v>
      </c>
      <c r="U61" s="60">
        <f t="shared" si="54"/>
        <v>9.1460336055239913E-2</v>
      </c>
      <c r="V61" s="59">
        <f>T61-R61</f>
        <v>-933186.81474730466</v>
      </c>
      <c r="W61" s="59">
        <f>W92</f>
        <v>0</v>
      </c>
      <c r="X61" s="60">
        <f t="shared" si="55"/>
        <v>0</v>
      </c>
    </row>
    <row r="62" spans="1:24" ht="14" x14ac:dyDescent="0.3">
      <c r="A62" s="58" t="s">
        <v>63</v>
      </c>
      <c r="B62" s="59">
        <v>0</v>
      </c>
      <c r="C62" s="60">
        <f t="shared" si="41"/>
        <v>0</v>
      </c>
      <c r="D62" s="59">
        <v>0</v>
      </c>
      <c r="E62" s="60">
        <f t="shared" si="43"/>
        <v>0</v>
      </c>
      <c r="F62" s="61">
        <v>0</v>
      </c>
      <c r="G62" s="60">
        <f t="shared" si="45"/>
        <v>0</v>
      </c>
      <c r="H62" s="59">
        <v>0</v>
      </c>
      <c r="I62" s="60">
        <f t="shared" si="47"/>
        <v>0</v>
      </c>
      <c r="J62" s="59">
        <v>2000000</v>
      </c>
      <c r="K62" s="60">
        <f>J62/J15</f>
        <v>3.4434812625017339E-2</v>
      </c>
      <c r="L62" s="59">
        <v>2534931.2706911992</v>
      </c>
      <c r="M62" s="60">
        <f>L62/L15</f>
        <v>4.2345606092507933E-2</v>
      </c>
      <c r="N62" s="59">
        <v>2101475.23</v>
      </c>
      <c r="O62" s="60">
        <f>N62/N15</f>
        <v>2.9047084817359698E-2</v>
      </c>
      <c r="P62" s="59">
        <v>2326680.1672729994</v>
      </c>
      <c r="Q62" s="60">
        <f>P62/P15</f>
        <v>3.6262792119042514E-2</v>
      </c>
      <c r="R62" s="59">
        <v>3391458.946</v>
      </c>
      <c r="S62" s="60">
        <f>R62/R15</f>
        <v>4.2931872371174205E-2</v>
      </c>
      <c r="T62" s="59">
        <v>1327004.48352199</v>
      </c>
      <c r="U62" s="60">
        <f>T62/T15</f>
        <v>1.6393595595728977E-2</v>
      </c>
      <c r="V62" s="59">
        <f>T62-R62</f>
        <v>-2064454.46247801</v>
      </c>
      <c r="W62" s="59"/>
      <c r="X62" s="60"/>
    </row>
    <row r="63" spans="1:24" ht="14" x14ac:dyDescent="0.3">
      <c r="A63" s="62" t="s">
        <v>64</v>
      </c>
      <c r="B63" s="63">
        <f>B127</f>
        <v>2941602</v>
      </c>
      <c r="C63" s="64">
        <f t="shared" si="41"/>
        <v>6.4706636901564793E-2</v>
      </c>
      <c r="D63" s="63">
        <f>D127</f>
        <v>725989.03740000026</v>
      </c>
      <c r="E63" s="64">
        <f t="shared" si="43"/>
        <v>1.3816175713668269E-2</v>
      </c>
      <c r="F63" s="65">
        <f>F127</f>
        <v>280558.33333333331</v>
      </c>
      <c r="G63" s="64">
        <f t="shared" si="45"/>
        <v>5.395156870445888E-3</v>
      </c>
      <c r="H63" s="63">
        <f>H127</f>
        <v>288100.80645161291</v>
      </c>
      <c r="I63" s="64">
        <f t="shared" si="47"/>
        <v>6.530450635832903E-3</v>
      </c>
      <c r="J63" s="63">
        <f>J127</f>
        <v>307800</v>
      </c>
      <c r="K63" s="64">
        <f>J63/J15</f>
        <v>5.2995176629901681E-3</v>
      </c>
      <c r="L63" s="63">
        <f>L127</f>
        <v>407400</v>
      </c>
      <c r="M63" s="64">
        <f>L63/L15</f>
        <v>6.8055493738825284E-3</v>
      </c>
      <c r="N63" s="63">
        <f>N127</f>
        <v>896576.9</v>
      </c>
      <c r="O63" s="64">
        <f>N63/N15</f>
        <v>1.2392696753121104E-2</v>
      </c>
      <c r="P63" s="63">
        <f>P127</f>
        <v>0</v>
      </c>
      <c r="Q63" s="64">
        <f>P63/$P$15</f>
        <v>0</v>
      </c>
      <c r="R63" s="63">
        <f>R127</f>
        <v>736731.68494000111</v>
      </c>
      <c r="S63" s="64">
        <f t="shared" si="52"/>
        <v>9.3261546647789659E-3</v>
      </c>
      <c r="T63" s="63">
        <f>T127</f>
        <v>0</v>
      </c>
      <c r="U63" s="64">
        <f>T63/$T$15</f>
        <v>0</v>
      </c>
      <c r="V63" s="59">
        <f>T63-R63</f>
        <v>-736731.68494000111</v>
      </c>
      <c r="W63" s="63">
        <f>W127</f>
        <v>0</v>
      </c>
      <c r="X63" s="64">
        <f t="shared" si="55"/>
        <v>0</v>
      </c>
    </row>
    <row r="64" spans="1:24" ht="14" x14ac:dyDescent="0.3">
      <c r="A64" s="66" t="s">
        <v>65</v>
      </c>
      <c r="B64" s="67">
        <v>-234704.90497409506</v>
      </c>
      <c r="C64" s="68">
        <f t="shared" si="41"/>
        <v>-5.1628211651933327E-3</v>
      </c>
      <c r="D64" s="67">
        <v>-810836.76734926726</v>
      </c>
      <c r="E64" s="68">
        <f t="shared" si="43"/>
        <v>-1.5430898644035407E-2</v>
      </c>
      <c r="F64" s="69">
        <v>-1179058.5867351685</v>
      </c>
      <c r="G64" s="68">
        <f t="shared" si="45"/>
        <v>-2.2673381179965413E-2</v>
      </c>
      <c r="H64" s="67">
        <v>-1102941.5852124384</v>
      </c>
      <c r="I64" s="68">
        <f t="shared" si="47"/>
        <v>-2.5000643577326558E-2</v>
      </c>
      <c r="J64" s="67">
        <v>-351181.00346383895</v>
      </c>
      <c r="K64" s="68">
        <f>J64/J15</f>
        <v>-6.0464260258714297E-3</v>
      </c>
      <c r="L64" s="67">
        <v>0</v>
      </c>
      <c r="M64" s="68">
        <f>L64/L15</f>
        <v>0</v>
      </c>
      <c r="N64" s="67">
        <v>0</v>
      </c>
      <c r="O64" s="68">
        <f>N64/N15</f>
        <v>0</v>
      </c>
      <c r="P64" s="67">
        <v>0</v>
      </c>
      <c r="Q64" s="68">
        <f>P64/$P$15</f>
        <v>0</v>
      </c>
      <c r="R64" s="67">
        <v>0</v>
      </c>
      <c r="S64" s="68">
        <f t="shared" si="52"/>
        <v>0</v>
      </c>
      <c r="T64" s="67">
        <v>0</v>
      </c>
      <c r="U64" s="68">
        <f>T64/$T$15</f>
        <v>0</v>
      </c>
      <c r="V64" s="67">
        <f>T64-R64</f>
        <v>0</v>
      </c>
      <c r="W64" s="67">
        <v>-810836.76734926726</v>
      </c>
      <c r="X64" s="68">
        <f t="shared" si="55"/>
        <v>-1.0264237652279757E-2</v>
      </c>
    </row>
    <row r="65" spans="1:24" ht="14" x14ac:dyDescent="0.3">
      <c r="A65" s="70" t="s">
        <v>66</v>
      </c>
      <c r="B65" s="71">
        <f>B60-B61-B63+B64</f>
        <v>-15920940.635797529</v>
      </c>
      <c r="C65" s="72">
        <f>B65/$B$15</f>
        <v>-0.35021410947229392</v>
      </c>
      <c r="D65" s="71">
        <f>D60-D61-D63+D64</f>
        <v>-14077848.062417535</v>
      </c>
      <c r="E65" s="72">
        <f>D65/$D$15</f>
        <v>-0.26791316739059751</v>
      </c>
      <c r="F65" s="73">
        <f>F60-F61-F63+F64</f>
        <v>-12481363.508520186</v>
      </c>
      <c r="G65" s="72">
        <f t="shared" si="45"/>
        <v>-0.24001751537894772</v>
      </c>
      <c r="H65" s="71">
        <f>H60-H61-H63+H64</f>
        <v>-16231347.607689783</v>
      </c>
      <c r="I65" s="72">
        <f t="shared" si="47"/>
        <v>-0.36791988058133113</v>
      </c>
      <c r="J65" s="71">
        <f>J60-J61-J63+J64-J62</f>
        <v>-8390394.8223314658</v>
      </c>
      <c r="K65" s="72">
        <f>J65/J15</f>
        <v>-0.14446083677844984</v>
      </c>
      <c r="L65" s="71">
        <f>L60-L61-L63+L64-L62</f>
        <v>-9858471.1813227274</v>
      </c>
      <c r="M65" s="72">
        <f>L65/L15</f>
        <v>-0.16468412463301382</v>
      </c>
      <c r="N65" s="71">
        <f>N60-N61-N63+N64-N62</f>
        <v>-5086525.7520163208</v>
      </c>
      <c r="O65" s="72">
        <f>N65/N15</f>
        <v>-7.0307155104798638E-2</v>
      </c>
      <c r="P65" s="71">
        <f>P60-P61-P63+P64-P62</f>
        <v>-8326738.141518034</v>
      </c>
      <c r="Q65" s="72">
        <f>P65/$P$15</f>
        <v>-0.12977751669645005</v>
      </c>
      <c r="R65" s="71">
        <f>R60-R61-R63+R64-R62</f>
        <v>-5462354.1650514845</v>
      </c>
      <c r="S65" s="72">
        <f t="shared" si="52"/>
        <v>-6.9146964652699108E-2</v>
      </c>
      <c r="T65" s="71">
        <f>T60-T61-T63+T64-T62</f>
        <v>125401.11874098377</v>
      </c>
      <c r="U65" s="72">
        <f>T65/$T$15</f>
        <v>1.5491848395534163E-3</v>
      </c>
      <c r="V65" s="71">
        <f>V60-V61-V63+V64-V62</f>
        <v>5587755.2837924706</v>
      </c>
      <c r="W65" s="71" t="e">
        <f>W60-W61-W63+W64</f>
        <v>#N/A</v>
      </c>
      <c r="X65" s="72" t="e">
        <f t="shared" si="55"/>
        <v>#N/A</v>
      </c>
    </row>
    <row r="66" spans="1:24" ht="14" hidden="1" x14ac:dyDescent="0.3">
      <c r="A66" s="74"/>
      <c r="B66" s="75"/>
      <c r="C66" s="76"/>
      <c r="D66" s="75"/>
      <c r="E66" s="76"/>
      <c r="F66" s="77"/>
      <c r="G66" s="76"/>
      <c r="H66" s="75"/>
      <c r="I66" s="76"/>
      <c r="J66" s="75"/>
      <c r="K66" s="76"/>
      <c r="L66" s="75"/>
      <c r="M66" s="76"/>
      <c r="N66" s="75"/>
      <c r="O66" s="76"/>
      <c r="P66" s="75"/>
      <c r="Q66" s="76"/>
      <c r="R66" s="75"/>
      <c r="S66" s="76"/>
      <c r="T66" s="75"/>
      <c r="U66" s="76"/>
      <c r="V66" s="75"/>
      <c r="W66" s="75"/>
      <c r="X66" s="76"/>
    </row>
    <row r="67" spans="1:24" ht="14" hidden="1" x14ac:dyDescent="0.3">
      <c r="A67" s="78" t="s">
        <v>67</v>
      </c>
      <c r="B67" s="79">
        <f>SUM(B68:B80)</f>
        <v>4057753.3885876858</v>
      </c>
      <c r="C67" s="80">
        <f t="shared" ref="C67:C80" si="74">B67/$B$15</f>
        <v>8.9258701602540902E-2</v>
      </c>
      <c r="D67" s="79">
        <f t="shared" ref="D67:W67" si="75">SUM(D68:D80)</f>
        <v>5288911.1159999995</v>
      </c>
      <c r="E67" s="80">
        <f t="shared" ref="E67:E80" si="76">D67/$D$15</f>
        <v>0.10065238116311714</v>
      </c>
      <c r="F67" s="81">
        <f t="shared" ref="F67" si="77">SUM(F68:F80)</f>
        <v>4636753.3099999996</v>
      </c>
      <c r="G67" s="80">
        <f t="shared" ref="G67:G80" si="78">F67/$F$15</f>
        <v>8.916509867945184E-2</v>
      </c>
      <c r="H67" s="79">
        <f t="shared" ref="H67:J67" si="79">SUM(H68:H80)</f>
        <v>4278434.3373999996</v>
      </c>
      <c r="I67" s="80">
        <f t="shared" ref="I67:I80" si="80">H67/$H$15</f>
        <v>9.6980305550570356E-2</v>
      </c>
      <c r="J67" s="79">
        <f t="shared" si="79"/>
        <v>4050521.9781579999</v>
      </c>
      <c r="K67" s="80">
        <f>J67/J15</f>
        <v>6.9739482675692646E-2</v>
      </c>
      <c r="L67" s="79">
        <f t="shared" ref="L67" si="81">SUM(L68:L80)</f>
        <v>4079541.7991599999</v>
      </c>
      <c r="M67" s="80">
        <f>L67/L15</f>
        <v>6.8148068573885473E-2</v>
      </c>
      <c r="N67" s="79">
        <f t="shared" ref="N67" si="82">SUM(N68:N80)</f>
        <v>5163977.5309010008</v>
      </c>
      <c r="O67" s="80">
        <f>N67/N15</f>
        <v>7.1377711806301467E-2</v>
      </c>
      <c r="P67" s="79">
        <f t="shared" ref="P67:R67" si="83">SUM(P68:P80)</f>
        <v>6855882.030487</v>
      </c>
      <c r="Q67" s="80">
        <f t="shared" ref="Q67:Q80" si="84">P67/$P$15</f>
        <v>0.10685328751291938</v>
      </c>
      <c r="R67" s="79">
        <f t="shared" si="83"/>
        <v>9831420.6334680002</v>
      </c>
      <c r="S67" s="80">
        <f t="shared" ref="S67:S80" si="85">R67/$R$15</f>
        <v>0.12445419584429694</v>
      </c>
      <c r="T67" s="79">
        <f t="shared" ref="T67" si="86">SUM(T68:T80)</f>
        <v>7204726.7508169953</v>
      </c>
      <c r="U67" s="80">
        <f t="shared" ref="U67:U80" si="87">T67/$T$15</f>
        <v>8.9006011808751354E-2</v>
      </c>
      <c r="V67" s="79">
        <f t="shared" si="75"/>
        <v>-2626693.882651004</v>
      </c>
      <c r="W67" s="79" t="e">
        <f t="shared" si="75"/>
        <v>#N/A</v>
      </c>
      <c r="X67" s="80" t="e">
        <f t="shared" ref="X67:X80" si="88">W67/$R$15</f>
        <v>#N/A</v>
      </c>
    </row>
    <row r="68" spans="1:24" ht="14" hidden="1" x14ac:dyDescent="0.3">
      <c r="A68" s="74" t="s">
        <v>68</v>
      </c>
      <c r="B68" s="82">
        <v>29665</v>
      </c>
      <c r="C68" s="83">
        <f t="shared" si="74"/>
        <v>6.5254320050262395E-4</v>
      </c>
      <c r="D68" s="82">
        <v>6040</v>
      </c>
      <c r="E68" s="83">
        <f t="shared" si="76"/>
        <v>1.1494622785134126E-4</v>
      </c>
      <c r="F68" s="84">
        <v>22960</v>
      </c>
      <c r="G68" s="83">
        <f t="shared" si="78"/>
        <v>4.4152244659317761E-4</v>
      </c>
      <c r="H68" s="82">
        <v>132485</v>
      </c>
      <c r="I68" s="83">
        <f t="shared" si="80"/>
        <v>3.0030695267548027E-3</v>
      </c>
      <c r="J68" s="82">
        <v>138450</v>
      </c>
      <c r="K68" s="83">
        <f>J68/J15</f>
        <v>2.3837499039668251E-3</v>
      </c>
      <c r="L68" s="82">
        <v>146960</v>
      </c>
      <c r="M68" s="83">
        <f>L68/L15</f>
        <v>2.4549424054633685E-3</v>
      </c>
      <c r="N68" s="82">
        <v>147385</v>
      </c>
      <c r="O68" s="83">
        <f>N68/N15</f>
        <v>2.0371901294342445E-3</v>
      </c>
      <c r="P68" s="82">
        <v>30350</v>
      </c>
      <c r="Q68" s="83">
        <f t="shared" si="84"/>
        <v>4.7302407795175269E-4</v>
      </c>
      <c r="R68" s="82">
        <v>156160</v>
      </c>
      <c r="S68" s="83">
        <f t="shared" si="85"/>
        <v>1.9768015170550037E-3</v>
      </c>
      <c r="T68" s="82">
        <v>57440</v>
      </c>
      <c r="U68" s="83">
        <f t="shared" si="87"/>
        <v>7.0960433269935382E-4</v>
      </c>
      <c r="V68" s="82">
        <f t="shared" ref="V68:V80" si="89">T68-R68</f>
        <v>-98720</v>
      </c>
      <c r="W68" s="82" t="e">
        <v>#N/A</v>
      </c>
      <c r="X68" s="83" t="e">
        <f t="shared" si="88"/>
        <v>#N/A</v>
      </c>
    </row>
    <row r="69" spans="1:24" ht="14" hidden="1" x14ac:dyDescent="0.3">
      <c r="A69" s="74" t="s">
        <v>69</v>
      </c>
      <c r="B69" s="82">
        <v>21887.046000000002</v>
      </c>
      <c r="C69" s="83">
        <f t="shared" si="74"/>
        <v>4.8145097071930406E-4</v>
      </c>
      <c r="D69" s="82">
        <v>5030.0460000000003</v>
      </c>
      <c r="E69" s="83">
        <f t="shared" si="76"/>
        <v>9.5725962519656909E-5</v>
      </c>
      <c r="F69" s="84">
        <v>7520</v>
      </c>
      <c r="G69" s="83">
        <f t="shared" si="78"/>
        <v>1.4461013930229511E-4</v>
      </c>
      <c r="H69" s="82">
        <v>48500.0674</v>
      </c>
      <c r="I69" s="83">
        <f t="shared" si="80"/>
        <v>1.0993627539305885E-3</v>
      </c>
      <c r="J69" s="82">
        <v>62186</v>
      </c>
      <c r="K69" s="83">
        <f>J69/J15</f>
        <v>1.070681628949664E-3</v>
      </c>
      <c r="L69" s="82">
        <v>10935</v>
      </c>
      <c r="M69" s="83">
        <f>L69/L15</f>
        <v>1.826673598512652E-4</v>
      </c>
      <c r="N69" s="82">
        <v>8030</v>
      </c>
      <c r="O69" s="83">
        <f>N69/N15</f>
        <v>1.1099254835537528E-4</v>
      </c>
      <c r="P69" s="82">
        <v>4410</v>
      </c>
      <c r="Q69" s="83">
        <f t="shared" si="84"/>
        <v>6.8732658443730791E-5</v>
      </c>
      <c r="R69" s="82">
        <v>16160</v>
      </c>
      <c r="S69" s="83">
        <f t="shared" si="85"/>
        <v>2.045665504329461E-4</v>
      </c>
      <c r="T69" s="82">
        <v>4990</v>
      </c>
      <c r="U69" s="83">
        <f t="shared" si="87"/>
        <v>6.1645641019668793E-5</v>
      </c>
      <c r="V69" s="82">
        <f t="shared" si="89"/>
        <v>-11170</v>
      </c>
      <c r="W69" s="82" t="e">
        <v>#N/A</v>
      </c>
      <c r="X69" s="83" t="e">
        <f t="shared" si="88"/>
        <v>#N/A</v>
      </c>
    </row>
    <row r="70" spans="1:24" ht="14" hidden="1" x14ac:dyDescent="0.3">
      <c r="A70" s="74" t="s">
        <v>70</v>
      </c>
      <c r="B70" s="82">
        <v>5738</v>
      </c>
      <c r="C70" s="83">
        <f t="shared" si="74"/>
        <v>1.2621921066860125E-4</v>
      </c>
      <c r="D70" s="82">
        <v>6440</v>
      </c>
      <c r="E70" s="83">
        <f t="shared" si="76"/>
        <v>1.2255856082162876E-4</v>
      </c>
      <c r="F70" s="84">
        <v>8790</v>
      </c>
      <c r="G70" s="83">
        <f t="shared" si="78"/>
        <v>1.6903233038127315E-4</v>
      </c>
      <c r="H70" s="82">
        <v>8328</v>
      </c>
      <c r="I70" s="83">
        <f t="shared" si="80"/>
        <v>1.8877278951439028E-4</v>
      </c>
      <c r="J70" s="82">
        <v>68860</v>
      </c>
      <c r="K70" s="83">
        <f>J70/J15</f>
        <v>1.185590598679347E-3</v>
      </c>
      <c r="L70" s="82">
        <v>79600</v>
      </c>
      <c r="M70" s="83">
        <f>L70/L15</f>
        <v>1.3297047868459726E-3</v>
      </c>
      <c r="N70" s="82">
        <v>39300</v>
      </c>
      <c r="O70" s="83">
        <f>N70/N15</f>
        <v>5.4321384188869848E-4</v>
      </c>
      <c r="P70" s="82">
        <v>21750</v>
      </c>
      <c r="Q70" s="83">
        <f t="shared" si="84"/>
        <v>3.3898760116806001E-4</v>
      </c>
      <c r="R70" s="82">
        <v>6550</v>
      </c>
      <c r="S70" s="83">
        <f t="shared" si="85"/>
        <v>8.2915278795531991E-5</v>
      </c>
      <c r="T70" s="82">
        <v>1470</v>
      </c>
      <c r="U70" s="83">
        <f t="shared" si="87"/>
        <v>1.8160138737257142E-5</v>
      </c>
      <c r="V70" s="82">
        <f t="shared" si="89"/>
        <v>-5080</v>
      </c>
      <c r="W70" s="82" t="e">
        <v>#N/A</v>
      </c>
      <c r="X70" s="83" t="e">
        <f t="shared" si="88"/>
        <v>#N/A</v>
      </c>
    </row>
    <row r="71" spans="1:24" ht="14" hidden="1" x14ac:dyDescent="0.3">
      <c r="A71" s="74" t="s">
        <v>71</v>
      </c>
      <c r="B71" s="82">
        <v>235697.97724694677</v>
      </c>
      <c r="C71" s="83">
        <f t="shared" si="74"/>
        <v>5.1846658494763952E-3</v>
      </c>
      <c r="D71" s="82">
        <v>272777.39999999997</v>
      </c>
      <c r="E71" s="83">
        <f t="shared" si="76"/>
        <v>5.1911809889232533E-3</v>
      </c>
      <c r="F71" s="84">
        <v>283030.89599999978</v>
      </c>
      <c r="G71" s="83">
        <f t="shared" si="78"/>
        <v>5.4427044278475226E-3</v>
      </c>
      <c r="H71" s="82">
        <v>452278.79999999993</v>
      </c>
      <c r="I71" s="83">
        <f t="shared" si="80"/>
        <v>1.0251912909968901E-2</v>
      </c>
      <c r="J71" s="82">
        <v>79999.999999999985</v>
      </c>
      <c r="K71" s="83">
        <f>J71/J15</f>
        <v>1.3773925050006932E-3</v>
      </c>
      <c r="L71" s="82">
        <v>0</v>
      </c>
      <c r="M71" s="83">
        <f>L71/L15</f>
        <v>0</v>
      </c>
      <c r="N71" s="82">
        <v>0</v>
      </c>
      <c r="O71" s="83">
        <f>N71/N15</f>
        <v>0</v>
      </c>
      <c r="P71" s="82">
        <v>349513.99999999988</v>
      </c>
      <c r="Q71" s="83">
        <f t="shared" si="84"/>
        <v>5.4473982728576228E-3</v>
      </c>
      <c r="R71" s="82">
        <v>668135.60000000044</v>
      </c>
      <c r="S71" s="83">
        <f t="shared" si="85"/>
        <v>8.4578090911786377E-3</v>
      </c>
      <c r="T71" s="82">
        <v>384769.19999999984</v>
      </c>
      <c r="U71" s="83">
        <f t="shared" si="87"/>
        <v>4.7533755468186648E-3</v>
      </c>
      <c r="V71" s="82">
        <f t="shared" si="89"/>
        <v>-283366.40000000061</v>
      </c>
      <c r="W71" s="82" t="e">
        <v>#N/A</v>
      </c>
      <c r="X71" s="83" t="e">
        <f t="shared" si="88"/>
        <v>#N/A</v>
      </c>
    </row>
    <row r="72" spans="1:24" ht="14" hidden="1" x14ac:dyDescent="0.3">
      <c r="A72" s="74" t="s">
        <v>72</v>
      </c>
      <c r="B72" s="82">
        <v>221343.13700191595</v>
      </c>
      <c r="C72" s="83">
        <f t="shared" si="74"/>
        <v>4.8689013662066745E-3</v>
      </c>
      <c r="D72" s="82">
        <v>181851.6</v>
      </c>
      <c r="E72" s="83">
        <f t="shared" si="76"/>
        <v>3.4607873259488364E-3</v>
      </c>
      <c r="F72" s="84">
        <v>188687.26400000002</v>
      </c>
      <c r="G72" s="83">
        <f t="shared" si="78"/>
        <v>3.6284696185650183E-3</v>
      </c>
      <c r="H72" s="82">
        <v>301519.20000000007</v>
      </c>
      <c r="I72" s="83">
        <f t="shared" si="80"/>
        <v>6.8346086066459364E-3</v>
      </c>
      <c r="J72" s="82">
        <v>120000</v>
      </c>
      <c r="K72" s="83">
        <f>J72/J15</f>
        <v>2.0660887575010404E-3</v>
      </c>
      <c r="L72" s="82">
        <v>0</v>
      </c>
      <c r="M72" s="83">
        <f>L72/L15</f>
        <v>0</v>
      </c>
      <c r="N72" s="82">
        <v>0</v>
      </c>
      <c r="O72" s="83">
        <f>N72/N15</f>
        <v>0</v>
      </c>
      <c r="P72" s="82">
        <v>450008.99999999977</v>
      </c>
      <c r="Q72" s="83">
        <f t="shared" si="84"/>
        <v>7.013676846622411E-3</v>
      </c>
      <c r="R72" s="82">
        <v>1002203.4000000004</v>
      </c>
      <c r="S72" s="83">
        <f t="shared" si="85"/>
        <v>1.2686713636767953E-2</v>
      </c>
      <c r="T72" s="82">
        <v>625506.59999999974</v>
      </c>
      <c r="U72" s="83">
        <f t="shared" si="87"/>
        <v>7.7274058755578247E-3</v>
      </c>
      <c r="V72" s="82">
        <f t="shared" si="89"/>
        <v>-376696.80000000063</v>
      </c>
      <c r="W72" s="82" t="e">
        <v>#N/A</v>
      </c>
      <c r="X72" s="83" t="e">
        <f t="shared" si="88"/>
        <v>#N/A</v>
      </c>
    </row>
    <row r="73" spans="1:24" ht="14" hidden="1" x14ac:dyDescent="0.3">
      <c r="A73" s="74" t="s">
        <v>73</v>
      </c>
      <c r="B73" s="82">
        <v>157219.53833882316</v>
      </c>
      <c r="C73" s="83">
        <f t="shared" si="74"/>
        <v>3.4583698206357878E-3</v>
      </c>
      <c r="D73" s="82">
        <v>295752</v>
      </c>
      <c r="E73" s="83">
        <f t="shared" si="76"/>
        <v>5.6284067515711723E-3</v>
      </c>
      <c r="F73" s="84">
        <v>50869.999999999978</v>
      </c>
      <c r="G73" s="83">
        <f t="shared" si="78"/>
        <v>9.7823374817922193E-4</v>
      </c>
      <c r="H73" s="82">
        <v>293819</v>
      </c>
      <c r="I73" s="83">
        <f t="shared" si="80"/>
        <v>6.6600663115188082E-3</v>
      </c>
      <c r="J73" s="82">
        <v>166664.99999999991</v>
      </c>
      <c r="K73" s="83">
        <f>J73/J15</f>
        <v>2.869539023074256E-3</v>
      </c>
      <c r="L73" s="82">
        <v>0</v>
      </c>
      <c r="M73" s="83">
        <f>L73/L15</f>
        <v>0</v>
      </c>
      <c r="N73" s="82">
        <v>0</v>
      </c>
      <c r="O73" s="83">
        <f>N73/N15</f>
        <v>0</v>
      </c>
      <c r="P73" s="82">
        <v>420700</v>
      </c>
      <c r="Q73" s="83">
        <f t="shared" si="84"/>
        <v>6.5568774166162224E-3</v>
      </c>
      <c r="R73" s="82">
        <v>570874.00000000035</v>
      </c>
      <c r="S73" s="83">
        <f t="shared" si="85"/>
        <v>7.2265918881100084E-3</v>
      </c>
      <c r="T73" s="82">
        <v>68772</v>
      </c>
      <c r="U73" s="83">
        <f t="shared" si="87"/>
        <v>8.4959800084261766E-4</v>
      </c>
      <c r="V73" s="82">
        <f t="shared" si="89"/>
        <v>-502102.00000000035</v>
      </c>
      <c r="W73" s="82" t="e">
        <v>#N/A</v>
      </c>
      <c r="X73" s="83" t="e">
        <f t="shared" si="88"/>
        <v>#N/A</v>
      </c>
    </row>
    <row r="74" spans="1:24" ht="14" hidden="1" x14ac:dyDescent="0.3">
      <c r="A74" s="74" t="s">
        <v>74</v>
      </c>
      <c r="B74" s="82">
        <v>0</v>
      </c>
      <c r="C74" s="83">
        <f t="shared" si="74"/>
        <v>0</v>
      </c>
      <c r="D74" s="82">
        <v>0</v>
      </c>
      <c r="E74" s="83">
        <f t="shared" si="76"/>
        <v>0</v>
      </c>
      <c r="F74" s="84">
        <v>0</v>
      </c>
      <c r="G74" s="83">
        <f t="shared" si="78"/>
        <v>0</v>
      </c>
      <c r="H74" s="82">
        <v>0</v>
      </c>
      <c r="I74" s="83">
        <f t="shared" si="80"/>
        <v>0</v>
      </c>
      <c r="J74" s="82">
        <v>0</v>
      </c>
      <c r="K74" s="83">
        <f>J74/J15</f>
        <v>0</v>
      </c>
      <c r="L74" s="82">
        <v>0</v>
      </c>
      <c r="M74" s="83">
        <f>L74/L15</f>
        <v>0</v>
      </c>
      <c r="N74" s="82">
        <v>0</v>
      </c>
      <c r="O74" s="83">
        <f>N74/N15</f>
        <v>0</v>
      </c>
      <c r="P74" s="82">
        <v>0</v>
      </c>
      <c r="Q74" s="83">
        <f t="shared" si="84"/>
        <v>0</v>
      </c>
      <c r="R74" s="82">
        <v>0</v>
      </c>
      <c r="S74" s="83">
        <f t="shared" si="85"/>
        <v>0</v>
      </c>
      <c r="T74" s="82">
        <v>0</v>
      </c>
      <c r="U74" s="83">
        <f t="shared" si="87"/>
        <v>0</v>
      </c>
      <c r="V74" s="82">
        <f t="shared" si="89"/>
        <v>0</v>
      </c>
      <c r="W74" s="82" t="e">
        <v>#N/A</v>
      </c>
      <c r="X74" s="83" t="e">
        <f t="shared" si="88"/>
        <v>#N/A</v>
      </c>
    </row>
    <row r="75" spans="1:24" ht="14" hidden="1" x14ac:dyDescent="0.3">
      <c r="A75" s="74" t="s">
        <v>75</v>
      </c>
      <c r="B75" s="82">
        <v>0</v>
      </c>
      <c r="C75" s="83">
        <f t="shared" si="74"/>
        <v>0</v>
      </c>
      <c r="D75" s="82">
        <v>0</v>
      </c>
      <c r="E75" s="83">
        <f t="shared" si="76"/>
        <v>0</v>
      </c>
      <c r="F75" s="84">
        <v>0</v>
      </c>
      <c r="G75" s="83">
        <f t="shared" si="78"/>
        <v>0</v>
      </c>
      <c r="H75" s="82">
        <v>0</v>
      </c>
      <c r="I75" s="83">
        <f t="shared" si="80"/>
        <v>0</v>
      </c>
      <c r="J75" s="82">
        <v>0</v>
      </c>
      <c r="K75" s="83">
        <f>J75/J15</f>
        <v>0</v>
      </c>
      <c r="L75" s="82">
        <v>0</v>
      </c>
      <c r="M75" s="83">
        <f>L75/L15</f>
        <v>0</v>
      </c>
      <c r="N75" s="82">
        <v>0</v>
      </c>
      <c r="O75" s="83">
        <f>N75/N15</f>
        <v>0</v>
      </c>
      <c r="P75" s="82">
        <v>0</v>
      </c>
      <c r="Q75" s="83">
        <f t="shared" si="84"/>
        <v>0</v>
      </c>
      <c r="R75" s="82">
        <v>0</v>
      </c>
      <c r="S75" s="83">
        <f t="shared" si="85"/>
        <v>0</v>
      </c>
      <c r="T75" s="82">
        <v>0</v>
      </c>
      <c r="U75" s="83">
        <f t="shared" si="87"/>
        <v>0</v>
      </c>
      <c r="V75" s="82">
        <f t="shared" si="89"/>
        <v>0</v>
      </c>
      <c r="W75" s="82" t="e">
        <v>#N/A</v>
      </c>
      <c r="X75" s="83" t="e">
        <f t="shared" si="88"/>
        <v>#N/A</v>
      </c>
    </row>
    <row r="76" spans="1:24" ht="14" hidden="1" x14ac:dyDescent="0.3">
      <c r="A76" s="74" t="s">
        <v>76</v>
      </c>
      <c r="B76" s="82">
        <v>883569.23</v>
      </c>
      <c r="C76" s="83">
        <f t="shared" si="74"/>
        <v>1.9435937745148794E-2</v>
      </c>
      <c r="D76" s="82">
        <v>1684823.8499999996</v>
      </c>
      <c r="E76" s="83">
        <f t="shared" si="76"/>
        <v>3.20636003562043E-2</v>
      </c>
      <c r="F76" s="84">
        <v>1268210.8999999997</v>
      </c>
      <c r="G76" s="83">
        <f t="shared" si="78"/>
        <v>2.4387786557671411E-2</v>
      </c>
      <c r="H76" s="82">
        <v>852622.51999999955</v>
      </c>
      <c r="I76" s="83">
        <f t="shared" si="80"/>
        <v>1.9326600804897804E-2</v>
      </c>
      <c r="J76" s="82">
        <v>1019325.7121740002</v>
      </c>
      <c r="K76" s="83">
        <f>J76/J15</f>
        <v>1.7550144951287025E-2</v>
      </c>
      <c r="L76" s="82">
        <v>1289513.7987199996</v>
      </c>
      <c r="M76" s="83">
        <f>L76/L15</f>
        <v>2.1541113955551729E-2</v>
      </c>
      <c r="N76" s="82">
        <v>1713741.2249009998</v>
      </c>
      <c r="O76" s="83">
        <f>N76/N15</f>
        <v>2.3687734218359187E-2</v>
      </c>
      <c r="P76" s="82">
        <v>1791720.588394</v>
      </c>
      <c r="Q76" s="83">
        <f t="shared" si="84"/>
        <v>2.7925106401062393E-2</v>
      </c>
      <c r="R76" s="82">
        <v>2575594.8684079996</v>
      </c>
      <c r="S76" s="83">
        <f t="shared" si="85"/>
        <v>3.2603994897464246E-2</v>
      </c>
      <c r="T76" s="82">
        <v>2572820.6618949897</v>
      </c>
      <c r="U76" s="83">
        <f t="shared" si="87"/>
        <v>3.1784204194622287E-2</v>
      </c>
      <c r="V76" s="82">
        <f t="shared" si="89"/>
        <v>-2774.2065130099654</v>
      </c>
      <c r="W76" s="82" t="e">
        <v>#N/A</v>
      </c>
      <c r="X76" s="83" t="e">
        <f t="shared" si="88"/>
        <v>#N/A</v>
      </c>
    </row>
    <row r="77" spans="1:24" ht="14" hidden="1" x14ac:dyDescent="0.3">
      <c r="A77" s="74" t="s">
        <v>77</v>
      </c>
      <c r="B77" s="82">
        <v>2158170.46</v>
      </c>
      <c r="C77" s="83">
        <f t="shared" si="74"/>
        <v>4.7473435334522841E-2</v>
      </c>
      <c r="D77" s="82">
        <v>2697330.02</v>
      </c>
      <c r="E77" s="83">
        <f t="shared" si="76"/>
        <v>5.133243560748061E-2</v>
      </c>
      <c r="F77" s="84">
        <v>2585461.0300000003</v>
      </c>
      <c r="G77" s="83">
        <f t="shared" si="78"/>
        <v>4.9718601025127054E-2</v>
      </c>
      <c r="H77" s="82">
        <v>1444130.0100000002</v>
      </c>
      <c r="I77" s="83">
        <f t="shared" si="80"/>
        <v>3.2734444093317043E-2</v>
      </c>
      <c r="J77" s="82">
        <v>1764003.686984</v>
      </c>
      <c r="K77" s="83">
        <f>J77/J15</f>
        <v>3.0371568215566889E-2</v>
      </c>
      <c r="L77" s="82">
        <v>2435668.6304400004</v>
      </c>
      <c r="M77" s="83">
        <f>L77/L15</f>
        <v>4.0687440164153807E-2</v>
      </c>
      <c r="N77" s="82">
        <v>2884042.9560000007</v>
      </c>
      <c r="O77" s="83">
        <f>N77/N15</f>
        <v>3.9863919956763326E-2</v>
      </c>
      <c r="P77" s="82">
        <v>3557908.2420930001</v>
      </c>
      <c r="Q77" s="83">
        <f t="shared" si="84"/>
        <v>5.5452265754628756E-2</v>
      </c>
      <c r="R77" s="82">
        <v>4446023.0150599992</v>
      </c>
      <c r="S77" s="83">
        <f t="shared" si="85"/>
        <v>5.6281410354969703E-2</v>
      </c>
      <c r="T77" s="82">
        <v>3214412.3089220067</v>
      </c>
      <c r="U77" s="83">
        <f t="shared" si="87"/>
        <v>3.9710322101204558E-2</v>
      </c>
      <c r="V77" s="82">
        <f t="shared" si="89"/>
        <v>-1231610.7061379924</v>
      </c>
      <c r="W77" s="82" t="e">
        <v>#N/A</v>
      </c>
      <c r="X77" s="83" t="e">
        <f t="shared" si="88"/>
        <v>#N/A</v>
      </c>
    </row>
    <row r="78" spans="1:24" ht="14" hidden="1" x14ac:dyDescent="0.3">
      <c r="A78" s="74" t="s">
        <v>78</v>
      </c>
      <c r="B78" s="82">
        <v>0</v>
      </c>
      <c r="C78" s="83">
        <f t="shared" si="74"/>
        <v>0</v>
      </c>
      <c r="D78" s="82">
        <v>0</v>
      </c>
      <c r="E78" s="83">
        <f t="shared" si="76"/>
        <v>0</v>
      </c>
      <c r="F78" s="84">
        <v>0</v>
      </c>
      <c r="G78" s="83">
        <f t="shared" si="78"/>
        <v>0</v>
      </c>
      <c r="H78" s="82">
        <v>0</v>
      </c>
      <c r="I78" s="83">
        <f t="shared" si="80"/>
        <v>0</v>
      </c>
      <c r="J78" s="82">
        <v>0</v>
      </c>
      <c r="K78" s="83">
        <f>J78/J15</f>
        <v>0</v>
      </c>
      <c r="L78" s="82">
        <v>0</v>
      </c>
      <c r="M78" s="83">
        <f>L78/L15</f>
        <v>0</v>
      </c>
      <c r="N78" s="82">
        <v>0</v>
      </c>
      <c r="O78" s="83">
        <f>N78/N15</f>
        <v>0</v>
      </c>
      <c r="P78" s="82">
        <v>0</v>
      </c>
      <c r="Q78" s="83">
        <f t="shared" si="84"/>
        <v>0</v>
      </c>
      <c r="R78" s="82">
        <v>0</v>
      </c>
      <c r="S78" s="83">
        <f t="shared" si="85"/>
        <v>0</v>
      </c>
      <c r="T78" s="82">
        <v>0</v>
      </c>
      <c r="U78" s="83">
        <f t="shared" si="87"/>
        <v>0</v>
      </c>
      <c r="V78" s="82">
        <f t="shared" si="89"/>
        <v>0</v>
      </c>
      <c r="W78" s="82" t="e">
        <v>#N/A</v>
      </c>
      <c r="X78" s="83" t="e">
        <f t="shared" si="88"/>
        <v>#N/A</v>
      </c>
    </row>
    <row r="79" spans="1:24" ht="14" hidden="1" x14ac:dyDescent="0.3">
      <c r="A79" s="74" t="s">
        <v>79</v>
      </c>
      <c r="B79" s="82">
        <v>333762.00000000006</v>
      </c>
      <c r="C79" s="83">
        <f t="shared" si="74"/>
        <v>7.3417874156803233E-3</v>
      </c>
      <c r="D79" s="82">
        <v>101593.2</v>
      </c>
      <c r="E79" s="83">
        <f t="shared" si="76"/>
        <v>1.9334031647925303E-3</v>
      </c>
      <c r="F79" s="84">
        <v>192276.72</v>
      </c>
      <c r="G79" s="83">
        <f t="shared" si="78"/>
        <v>3.6974951148654777E-3</v>
      </c>
      <c r="H79" s="82">
        <v>527169.34999999986</v>
      </c>
      <c r="I79" s="83">
        <f t="shared" si="80"/>
        <v>1.1949475113591247E-2</v>
      </c>
      <c r="J79" s="82">
        <v>464827.82900000003</v>
      </c>
      <c r="K79" s="83">
        <f>J79/J15</f>
        <v>8.003129597254301E-3</v>
      </c>
      <c r="L79" s="82">
        <v>0</v>
      </c>
      <c r="M79" s="83">
        <f>L79/L15</f>
        <v>0</v>
      </c>
      <c r="N79" s="82">
        <v>281995.40000000002</v>
      </c>
      <c r="O79" s="83">
        <f>N79/N15</f>
        <v>3.8978067335608212E-3</v>
      </c>
      <c r="P79" s="82">
        <v>58972.2</v>
      </c>
      <c r="Q79" s="83">
        <f t="shared" si="84"/>
        <v>9.1911929257945137E-4</v>
      </c>
      <c r="R79" s="82">
        <v>156815.75</v>
      </c>
      <c r="S79" s="83">
        <f t="shared" si="85"/>
        <v>1.9851025390504496E-3</v>
      </c>
      <c r="T79" s="82">
        <v>144578.97999999998</v>
      </c>
      <c r="U79" s="83">
        <f t="shared" si="87"/>
        <v>1.7861049899939626E-3</v>
      </c>
      <c r="V79" s="82">
        <f t="shared" si="89"/>
        <v>-12236.770000000019</v>
      </c>
      <c r="W79" s="82" t="e">
        <v>#N/A</v>
      </c>
      <c r="X79" s="83" t="e">
        <f t="shared" si="88"/>
        <v>#N/A</v>
      </c>
    </row>
    <row r="80" spans="1:24" ht="14" hidden="1" x14ac:dyDescent="0.3">
      <c r="A80" s="74" t="s">
        <v>80</v>
      </c>
      <c r="B80" s="82">
        <v>10701</v>
      </c>
      <c r="C80" s="83">
        <f t="shared" si="74"/>
        <v>2.3539068897955769E-4</v>
      </c>
      <c r="D80" s="82">
        <v>37273</v>
      </c>
      <c r="E80" s="83">
        <f t="shared" si="76"/>
        <v>7.0933621700381506E-4</v>
      </c>
      <c r="F80" s="84">
        <v>28946.5</v>
      </c>
      <c r="G80" s="83">
        <f t="shared" si="78"/>
        <v>5.5664327091939966E-4</v>
      </c>
      <c r="H80" s="82">
        <v>217582.39</v>
      </c>
      <c r="I80" s="83">
        <f t="shared" si="80"/>
        <v>4.931992640430833E-3</v>
      </c>
      <c r="J80" s="82">
        <v>166203.75</v>
      </c>
      <c r="K80" s="83">
        <f>J80/J15</f>
        <v>2.8615974944126129E-3</v>
      </c>
      <c r="L80" s="82">
        <v>116864.37000000001</v>
      </c>
      <c r="M80" s="83">
        <f>L80/L15</f>
        <v>1.9521999020193329E-3</v>
      </c>
      <c r="N80" s="82">
        <v>89482.95</v>
      </c>
      <c r="O80" s="83">
        <f>N80/N15</f>
        <v>1.2368543779398041E-3</v>
      </c>
      <c r="P80" s="82">
        <v>170548</v>
      </c>
      <c r="Q80" s="83">
        <f t="shared" si="84"/>
        <v>2.6580991909889791E-3</v>
      </c>
      <c r="R80" s="82">
        <v>232904</v>
      </c>
      <c r="S80" s="83">
        <f t="shared" si="85"/>
        <v>2.9482900904724552E-3</v>
      </c>
      <c r="T80" s="82">
        <v>129967</v>
      </c>
      <c r="U80" s="83">
        <f t="shared" si="87"/>
        <v>1.6055909872551692E-3</v>
      </c>
      <c r="V80" s="82">
        <f t="shared" si="89"/>
        <v>-102937</v>
      </c>
      <c r="W80" s="82" t="e">
        <v>#N/A</v>
      </c>
      <c r="X80" s="83" t="e">
        <f t="shared" si="88"/>
        <v>#N/A</v>
      </c>
    </row>
    <row r="81" spans="1:24" ht="14" hidden="1" x14ac:dyDescent="0.3">
      <c r="A81" s="74"/>
      <c r="B81" s="75"/>
      <c r="C81" s="76"/>
      <c r="D81" s="75"/>
      <c r="E81" s="76"/>
      <c r="F81" s="77"/>
      <c r="G81" s="76"/>
      <c r="H81" s="75"/>
      <c r="I81" s="76"/>
      <c r="J81" s="75"/>
      <c r="K81" s="76"/>
      <c r="L81" s="75"/>
      <c r="M81" s="76"/>
      <c r="N81" s="75"/>
      <c r="O81" s="76"/>
      <c r="P81" s="75"/>
      <c r="Q81" s="76"/>
      <c r="R81" s="75"/>
      <c r="S81" s="76"/>
      <c r="T81" s="75"/>
      <c r="U81" s="76"/>
      <c r="V81" s="75"/>
      <c r="W81" s="75"/>
      <c r="X81" s="76"/>
    </row>
    <row r="82" spans="1:24" ht="14" hidden="1" x14ac:dyDescent="0.3">
      <c r="A82" s="85" t="s">
        <v>81</v>
      </c>
      <c r="B82" s="86">
        <f>SUM(B84:B90)</f>
        <v>45717815.78285715</v>
      </c>
      <c r="C82" s="87">
        <f>B82/$B$82</f>
        <v>1</v>
      </c>
      <c r="D82" s="86">
        <f t="shared" ref="D82:W82" si="90">SUM(D84:D90)</f>
        <v>52770220.108571433</v>
      </c>
      <c r="E82" s="87">
        <f>D82/$D$82</f>
        <v>1</v>
      </c>
      <c r="F82" s="86">
        <f t="shared" ref="F82" si="91">SUM(F84:F90)</f>
        <v>52188257.670476198</v>
      </c>
      <c r="G82" s="87">
        <f>F82/$F$82</f>
        <v>1</v>
      </c>
      <c r="H82" s="86">
        <f t="shared" ref="H82:J82" si="92">SUM(H84:H90)</f>
        <v>44454796.547619037</v>
      </c>
      <c r="I82" s="87">
        <f>H82/$H$82</f>
        <v>1</v>
      </c>
      <c r="J82" s="86">
        <f t="shared" si="92"/>
        <v>58689363.701428577</v>
      </c>
      <c r="K82" s="87">
        <f>J82/J82</f>
        <v>1</v>
      </c>
      <c r="L82" s="86">
        <f t="shared" ref="L82" si="93">SUM(L84:L90)</f>
        <v>60121166.459523827</v>
      </c>
      <c r="M82" s="87">
        <f>L82/L82</f>
        <v>1</v>
      </c>
      <c r="N82" s="86">
        <f t="shared" ref="N82" si="94">SUM(N84:N90)</f>
        <v>72654355.836666629</v>
      </c>
      <c r="O82" s="87">
        <f>N82/N82</f>
        <v>1</v>
      </c>
      <c r="P82" s="86">
        <f t="shared" ref="P82:R82" si="95">SUM(P84:P90)</f>
        <v>64199806.913809538</v>
      </c>
      <c r="Q82" s="87">
        <f>P82/$P$82</f>
        <v>1</v>
      </c>
      <c r="R82" s="86">
        <f t="shared" si="95"/>
        <v>79057520.698095307</v>
      </c>
      <c r="S82" s="87">
        <f>R82/$R$82</f>
        <v>1</v>
      </c>
      <c r="T82" s="86">
        <f t="shared" ref="T82" si="96">SUM(T84:T90)</f>
        <v>81098424.596666768</v>
      </c>
      <c r="U82" s="87">
        <f>T82/$T$82</f>
        <v>1</v>
      </c>
      <c r="V82" s="86">
        <f t="shared" si="90"/>
        <v>2040903.8985714638</v>
      </c>
      <c r="W82" s="86" t="e">
        <f t="shared" si="90"/>
        <v>#N/A</v>
      </c>
      <c r="X82" s="87" t="e">
        <f>W82/$R$82</f>
        <v>#N/A</v>
      </c>
    </row>
    <row r="83" spans="1:24" ht="14" hidden="1" x14ac:dyDescent="0.3">
      <c r="A83" s="74"/>
      <c r="B83" s="75"/>
      <c r="C83" s="76"/>
      <c r="D83" s="75"/>
      <c r="E83" s="76"/>
      <c r="F83" s="75"/>
      <c r="G83" s="76"/>
      <c r="H83" s="75"/>
      <c r="I83" s="76"/>
      <c r="J83" s="75"/>
      <c r="K83" s="76"/>
      <c r="L83" s="75"/>
      <c r="M83" s="76"/>
      <c r="N83" s="75"/>
      <c r="O83" s="76"/>
      <c r="P83" s="75"/>
      <c r="Q83" s="76"/>
      <c r="R83" s="75"/>
      <c r="S83" s="76"/>
      <c r="T83" s="75"/>
      <c r="U83" s="76"/>
      <c r="V83" s="75"/>
      <c r="W83" s="75"/>
      <c r="X83" s="76"/>
    </row>
    <row r="84" spans="1:24" ht="14" hidden="1" x14ac:dyDescent="0.3">
      <c r="A84" s="74" t="s">
        <v>82</v>
      </c>
      <c r="B84" s="82">
        <v>12115632.380952382</v>
      </c>
      <c r="C84" s="83">
        <f t="shared" ref="C84:C90" si="97">B84/$B$82</f>
        <v>0.26500899427254337</v>
      </c>
      <c r="D84" s="82">
        <v>11959850.476190472</v>
      </c>
      <c r="E84" s="83">
        <f t="shared" ref="E84:E90" si="98">D84/$D$82</f>
        <v>0.22664014763599291</v>
      </c>
      <c r="F84" s="82">
        <v>12553253.333333332</v>
      </c>
      <c r="G84" s="83">
        <f t="shared" ref="G84:G90" si="99">F84/$F$82</f>
        <v>0.24053788905152365</v>
      </c>
      <c r="H84" s="82">
        <v>12766168.571428567</v>
      </c>
      <c r="I84" s="83">
        <f t="shared" ref="I84:I90" si="100">H84/$H$82</f>
        <v>0.28717190411058835</v>
      </c>
      <c r="J84" s="82">
        <v>14645263.809523812</v>
      </c>
      <c r="K84" s="83">
        <f>J84/J82</f>
        <v>0.24953863674564469</v>
      </c>
      <c r="L84" s="82">
        <v>11961390.476190479</v>
      </c>
      <c r="M84" s="83">
        <f>L84/L82</f>
        <v>0.19895473059797344</v>
      </c>
      <c r="N84" s="82">
        <v>13708553.333333338</v>
      </c>
      <c r="O84" s="83">
        <f>N84/N82</f>
        <v>0.18868178205517877</v>
      </c>
      <c r="P84" s="82">
        <v>11733577.142857146</v>
      </c>
      <c r="Q84" s="83">
        <f t="shared" ref="Q84:Q90" si="101">P84/$P$82</f>
        <v>0.18276654879367282</v>
      </c>
      <c r="R84" s="82">
        <v>13806032.380952386</v>
      </c>
      <c r="S84" s="83">
        <f t="shared" ref="S84:S90" si="102">R84/$R$82</f>
        <v>0.1746327516856345</v>
      </c>
      <c r="T84" s="82">
        <v>11913434.285714285</v>
      </c>
      <c r="U84" s="83">
        <f t="shared" ref="U84:U90" si="103">T84/$T$82</f>
        <v>0.14690093358735776</v>
      </c>
      <c r="V84" s="82">
        <f t="shared" ref="V84:V90" si="104">T84-R84</f>
        <v>-1892598.0952381007</v>
      </c>
      <c r="W84" s="82" t="e">
        <v>#N/A</v>
      </c>
      <c r="X84" s="83" t="e">
        <f t="shared" ref="X84:X90" si="105">W84/$R$82</f>
        <v>#N/A</v>
      </c>
    </row>
    <row r="85" spans="1:24" ht="14" hidden="1" x14ac:dyDescent="0.3">
      <c r="A85" s="74" t="s">
        <v>83</v>
      </c>
      <c r="B85" s="82">
        <v>6725103.6714285733</v>
      </c>
      <c r="C85" s="83">
        <f t="shared" si="97"/>
        <v>0.14710028369181827</v>
      </c>
      <c r="D85" s="82">
        <v>6578789.4095238112</v>
      </c>
      <c r="E85" s="83">
        <f t="shared" si="98"/>
        <v>0.12466859899368171</v>
      </c>
      <c r="F85" s="82">
        <v>7235397.5142857153</v>
      </c>
      <c r="G85" s="83">
        <f t="shared" si="99"/>
        <v>0.13864033476593537</v>
      </c>
      <c r="H85" s="82">
        <v>7962098.5523809483</v>
      </c>
      <c r="I85" s="83">
        <f t="shared" si="100"/>
        <v>0.17910549975978671</v>
      </c>
      <c r="J85" s="82">
        <v>10188245.619047614</v>
      </c>
      <c r="K85" s="83">
        <f>J85/J82</f>
        <v>0.17359611651062454</v>
      </c>
      <c r="L85" s="82">
        <v>10075248.552380957</v>
      </c>
      <c r="M85" s="83">
        <f>L85/L82</f>
        <v>0.16758238646557283</v>
      </c>
      <c r="N85" s="82">
        <v>11970585.171428569</v>
      </c>
      <c r="O85" s="83">
        <f>N85/N82</f>
        <v>0.16476073641530173</v>
      </c>
      <c r="P85" s="82">
        <v>9477230.8476190548</v>
      </c>
      <c r="Q85" s="83">
        <f t="shared" si="101"/>
        <v>0.14762086216774087</v>
      </c>
      <c r="R85" s="82">
        <v>10691407.800000001</v>
      </c>
      <c r="S85" s="83">
        <f t="shared" si="102"/>
        <v>0.135235809390334</v>
      </c>
      <c r="T85" s="82">
        <v>12230925.5809524</v>
      </c>
      <c r="U85" s="83">
        <f t="shared" si="103"/>
        <v>0.15081582215414704</v>
      </c>
      <c r="V85" s="82">
        <f t="shared" si="104"/>
        <v>1539517.7809523996</v>
      </c>
      <c r="W85" s="82" t="e">
        <v>#N/A</v>
      </c>
      <c r="X85" s="83" t="e">
        <f t="shared" si="105"/>
        <v>#N/A</v>
      </c>
    </row>
    <row r="86" spans="1:24" ht="14" hidden="1" x14ac:dyDescent="0.3">
      <c r="A86" s="74" t="s">
        <v>84</v>
      </c>
      <c r="B86" s="82">
        <v>76101.590476190468</v>
      </c>
      <c r="C86" s="83">
        <f t="shared" si="97"/>
        <v>1.6645937513210408E-3</v>
      </c>
      <c r="D86" s="82">
        <v>70584.54285714282</v>
      </c>
      <c r="E86" s="83">
        <f t="shared" si="98"/>
        <v>1.3375828774623174E-3</v>
      </c>
      <c r="F86" s="82">
        <v>77231.142857142841</v>
      </c>
      <c r="G86" s="83">
        <f t="shared" si="99"/>
        <v>1.4798567015743436E-3</v>
      </c>
      <c r="H86" s="82">
        <v>73104.323809523805</v>
      </c>
      <c r="I86" s="83">
        <f t="shared" si="100"/>
        <v>1.6444642532829051E-3</v>
      </c>
      <c r="J86" s="82">
        <v>86277.742857142861</v>
      </c>
      <c r="K86" s="83">
        <f>J86/J82</f>
        <v>1.4700745998212747E-3</v>
      </c>
      <c r="L86" s="82">
        <v>75269.580952380944</v>
      </c>
      <c r="M86" s="83">
        <f>L86/L82</f>
        <v>1.2519647469424215E-3</v>
      </c>
      <c r="N86" s="82">
        <v>91494.961904762036</v>
      </c>
      <c r="O86" s="83">
        <f>N86/N82</f>
        <v>1.2593183278708127E-3</v>
      </c>
      <c r="P86" s="82">
        <v>69461.13333333339</v>
      </c>
      <c r="Q86" s="83">
        <f t="shared" si="101"/>
        <v>1.0819523713924461E-3</v>
      </c>
      <c r="R86" s="82">
        <v>15258.657142857142</v>
      </c>
      <c r="S86" s="83">
        <f t="shared" si="102"/>
        <v>1.9300702840311512E-4</v>
      </c>
      <c r="T86" s="82">
        <v>0</v>
      </c>
      <c r="U86" s="83">
        <f t="shared" si="103"/>
        <v>0</v>
      </c>
      <c r="V86" s="82">
        <f t="shared" si="104"/>
        <v>-15258.657142857142</v>
      </c>
      <c r="W86" s="82" t="e">
        <v>#N/A</v>
      </c>
      <c r="X86" s="83" t="e">
        <f t="shared" si="105"/>
        <v>#N/A</v>
      </c>
    </row>
    <row r="87" spans="1:24" ht="14" hidden="1" x14ac:dyDescent="0.3">
      <c r="A87" s="74" t="s">
        <v>85</v>
      </c>
      <c r="B87" s="82">
        <v>0</v>
      </c>
      <c r="C87" s="83">
        <f t="shared" si="97"/>
        <v>0</v>
      </c>
      <c r="D87" s="82">
        <v>0</v>
      </c>
      <c r="E87" s="83">
        <f t="shared" si="98"/>
        <v>0</v>
      </c>
      <c r="F87" s="82">
        <v>0</v>
      </c>
      <c r="G87" s="83">
        <f t="shared" si="99"/>
        <v>0</v>
      </c>
      <c r="H87" s="82">
        <v>0</v>
      </c>
      <c r="I87" s="83">
        <f t="shared" si="100"/>
        <v>0</v>
      </c>
      <c r="J87" s="82">
        <v>0</v>
      </c>
      <c r="K87" s="83">
        <f>J87/J82</f>
        <v>0</v>
      </c>
      <c r="L87" s="82">
        <v>0</v>
      </c>
      <c r="M87" s="83">
        <f>L87/L82</f>
        <v>0</v>
      </c>
      <c r="N87" s="82">
        <v>0</v>
      </c>
      <c r="O87" s="83">
        <f>N87/N82</f>
        <v>0</v>
      </c>
      <c r="P87" s="82">
        <v>0</v>
      </c>
      <c r="Q87" s="83">
        <f t="shared" si="101"/>
        <v>0</v>
      </c>
      <c r="R87" s="82">
        <v>0</v>
      </c>
      <c r="S87" s="83">
        <f t="shared" si="102"/>
        <v>0</v>
      </c>
      <c r="T87" s="82">
        <v>0</v>
      </c>
      <c r="U87" s="83">
        <f t="shared" si="103"/>
        <v>0</v>
      </c>
      <c r="V87" s="82">
        <f t="shared" si="104"/>
        <v>0</v>
      </c>
      <c r="W87" s="82" t="e">
        <v>#N/A</v>
      </c>
      <c r="X87" s="83" t="e">
        <f t="shared" si="105"/>
        <v>#N/A</v>
      </c>
    </row>
    <row r="88" spans="1:24" ht="14" hidden="1" x14ac:dyDescent="0.3">
      <c r="A88" s="74" t="s">
        <v>86</v>
      </c>
      <c r="B88" s="82">
        <v>98237.91</v>
      </c>
      <c r="C88" s="83">
        <f t="shared" si="97"/>
        <v>2.1487883512763171E-3</v>
      </c>
      <c r="D88" s="82">
        <v>75685.52999999997</v>
      </c>
      <c r="E88" s="83">
        <f t="shared" si="98"/>
        <v>1.4342470022729054E-3</v>
      </c>
      <c r="F88" s="82">
        <v>95560.17</v>
      </c>
      <c r="G88" s="83">
        <f t="shared" si="99"/>
        <v>1.8310664939875938E-3</v>
      </c>
      <c r="H88" s="82">
        <v>63703.900000000016</v>
      </c>
      <c r="I88" s="83">
        <f t="shared" si="100"/>
        <v>1.4330039713883686E-3</v>
      </c>
      <c r="J88" s="82">
        <v>73094.700000000026</v>
      </c>
      <c r="K88" s="83">
        <f>J88/J82</f>
        <v>1.2454505448696968E-3</v>
      </c>
      <c r="L88" s="82">
        <v>65319.250000000007</v>
      </c>
      <c r="M88" s="83">
        <f>L88/L82</f>
        <v>1.0864601245548979E-3</v>
      </c>
      <c r="N88" s="82">
        <v>75398.459999999992</v>
      </c>
      <c r="O88" s="83">
        <f>N88/N82</f>
        <v>1.0377693000197035E-3</v>
      </c>
      <c r="P88" s="82">
        <v>74566.180000000008</v>
      </c>
      <c r="Q88" s="83">
        <f t="shared" si="101"/>
        <v>1.1614704714004464E-3</v>
      </c>
      <c r="R88" s="82">
        <v>45547.16</v>
      </c>
      <c r="S88" s="83">
        <f t="shared" si="102"/>
        <v>5.7612684533752843E-4</v>
      </c>
      <c r="T88" s="82">
        <v>32740.690000000002</v>
      </c>
      <c r="U88" s="83">
        <f t="shared" si="103"/>
        <v>4.037154872345779E-4</v>
      </c>
      <c r="V88" s="82">
        <f t="shared" si="104"/>
        <v>-12806.470000000001</v>
      </c>
      <c r="W88" s="82" t="e">
        <v>#N/A</v>
      </c>
      <c r="X88" s="83" t="e">
        <f t="shared" si="105"/>
        <v>#N/A</v>
      </c>
    </row>
    <row r="89" spans="1:24" ht="14" hidden="1" x14ac:dyDescent="0.3">
      <c r="A89" s="74" t="s">
        <v>87</v>
      </c>
      <c r="B89" s="82">
        <v>9094514.9800000004</v>
      </c>
      <c r="C89" s="83">
        <f t="shared" si="97"/>
        <v>0.19892715398293762</v>
      </c>
      <c r="D89" s="82">
        <v>14547440</v>
      </c>
      <c r="E89" s="83">
        <f t="shared" si="98"/>
        <v>0.27567518138202857</v>
      </c>
      <c r="F89" s="82">
        <v>12964647.930000002</v>
      </c>
      <c r="G89" s="83">
        <f t="shared" si="99"/>
        <v>0.24842078484130592</v>
      </c>
      <c r="H89" s="82">
        <v>7366225</v>
      </c>
      <c r="I89" s="83">
        <f t="shared" si="100"/>
        <v>0.16570146692965868</v>
      </c>
      <c r="J89" s="82">
        <v>12340504.99</v>
      </c>
      <c r="K89" s="83">
        <f>J89/J82</f>
        <v>0.21026816805818627</v>
      </c>
      <c r="L89" s="82">
        <v>13660103.800000001</v>
      </c>
      <c r="M89" s="83">
        <f>L89/L82</f>
        <v>0.22720956036667342</v>
      </c>
      <c r="N89" s="82">
        <v>16996106.670000006</v>
      </c>
      <c r="O89" s="83">
        <f>N89/N82</f>
        <v>0.23393100763578092</v>
      </c>
      <c r="P89" s="82">
        <v>16054042.98</v>
      </c>
      <c r="Q89" s="83">
        <f t="shared" si="101"/>
        <v>0.25006372685128336</v>
      </c>
      <c r="R89" s="82">
        <v>21092119.75</v>
      </c>
      <c r="S89" s="83">
        <f t="shared" si="102"/>
        <v>0.26679460175011738</v>
      </c>
      <c r="T89" s="82">
        <v>24380746.969999999</v>
      </c>
      <c r="U89" s="83">
        <f t="shared" si="103"/>
        <v>0.30063157319337214</v>
      </c>
      <c r="V89" s="82">
        <f t="shared" si="104"/>
        <v>3288627.2199999988</v>
      </c>
      <c r="W89" s="82" t="e">
        <v>#N/A</v>
      </c>
      <c r="X89" s="83" t="e">
        <f t="shared" si="105"/>
        <v>#N/A</v>
      </c>
    </row>
    <row r="90" spans="1:24" ht="14" hidden="1" x14ac:dyDescent="0.3">
      <c r="A90" s="74" t="s">
        <v>88</v>
      </c>
      <c r="B90" s="82">
        <v>17608225.250000007</v>
      </c>
      <c r="C90" s="83">
        <f t="shared" si="97"/>
        <v>0.38515018595010347</v>
      </c>
      <c r="D90" s="82">
        <v>19537870.150000002</v>
      </c>
      <c r="E90" s="83">
        <f t="shared" si="98"/>
        <v>0.37024424210856149</v>
      </c>
      <c r="F90" s="82">
        <v>19262167.580000002</v>
      </c>
      <c r="G90" s="83">
        <f t="shared" si="99"/>
        <v>0.36909006814567302</v>
      </c>
      <c r="H90" s="82">
        <v>16223496.199999999</v>
      </c>
      <c r="I90" s="83">
        <f t="shared" si="100"/>
        <v>0.36494366097529507</v>
      </c>
      <c r="J90" s="82">
        <v>21355976.840000007</v>
      </c>
      <c r="K90" s="83">
        <f>J90/J82</f>
        <v>0.3638815535408535</v>
      </c>
      <c r="L90" s="82">
        <v>24283834.800000008</v>
      </c>
      <c r="M90" s="83">
        <f>L90/L82</f>
        <v>0.40391489769828298</v>
      </c>
      <c r="N90" s="82">
        <v>29812217.239999957</v>
      </c>
      <c r="O90" s="83">
        <f>N90/N82</f>
        <v>0.41032938626584814</v>
      </c>
      <c r="P90" s="82">
        <v>26790928.630000014</v>
      </c>
      <c r="Q90" s="83">
        <f t="shared" si="101"/>
        <v>0.4173054393445102</v>
      </c>
      <c r="R90" s="82">
        <v>33407154.950000063</v>
      </c>
      <c r="S90" s="83">
        <f t="shared" si="102"/>
        <v>0.42256770330017351</v>
      </c>
      <c r="T90" s="82">
        <v>32540577.070000086</v>
      </c>
      <c r="U90" s="83">
        <f t="shared" si="103"/>
        <v>0.4012479555778885</v>
      </c>
      <c r="V90" s="82">
        <f t="shared" si="104"/>
        <v>-866577.87999997661</v>
      </c>
      <c r="W90" s="82" t="e">
        <v>#N/A</v>
      </c>
      <c r="X90" s="83" t="e">
        <f t="shared" si="105"/>
        <v>#N/A</v>
      </c>
    </row>
    <row r="91" spans="1:24" ht="14" hidden="1" x14ac:dyDescent="0.3">
      <c r="C91" s="88"/>
      <c r="E91" s="89"/>
      <c r="F91" s="90"/>
      <c r="G91" s="89"/>
      <c r="I91" s="89"/>
      <c r="J91" s="90"/>
      <c r="K91" s="89"/>
      <c r="L91" s="90"/>
      <c r="M91" s="89"/>
      <c r="N91" s="90"/>
      <c r="O91" s="89"/>
      <c r="P91" s="90"/>
      <c r="Q91" s="89"/>
      <c r="S91" s="89"/>
      <c r="U91" s="89"/>
      <c r="X91" s="89"/>
    </row>
    <row r="92" spans="1:24" ht="14" hidden="1" x14ac:dyDescent="0.3">
      <c r="A92" s="91" t="s">
        <v>89</v>
      </c>
      <c r="B92" s="92">
        <f>SUM(B93:B111)</f>
        <v>9053177</v>
      </c>
      <c r="C92" s="93">
        <f t="shared" ref="C92:C111" si="106">B92/$B$15</f>
        <v>0.19914340449340109</v>
      </c>
      <c r="D92" s="92">
        <f>SUM(D93:D111)</f>
        <v>9208435</v>
      </c>
      <c r="E92" s="93">
        <f t="shared" ref="E92:E111" si="107">D92/$D$15</f>
        <v>0.17524418338812345</v>
      </c>
      <c r="F92" s="92">
        <f>SUM(F93:F111)</f>
        <v>9311039.3383666668</v>
      </c>
      <c r="G92" s="93">
        <f t="shared" ref="G92:G111" si="108">F92/$F$15</f>
        <v>0.17905195422478104</v>
      </c>
      <c r="H92" s="92">
        <f>SUM(H93:H111)</f>
        <v>8591096.4145161286</v>
      </c>
      <c r="I92" s="93">
        <f t="shared" ref="I92:I111" si="109">H92/$H$15</f>
        <v>0.1947364595527481</v>
      </c>
      <c r="J92" s="92">
        <f>SUM(J93:J111)</f>
        <v>9209163</v>
      </c>
      <c r="K92" s="93">
        <f>J92/J15</f>
        <v>0.15855790116912127</v>
      </c>
      <c r="L92" s="92">
        <f>SUM(L93:L111)</f>
        <v>10555712.594057865</v>
      </c>
      <c r="M92" s="93">
        <f>L92/L15</f>
        <v>0.17633142669458621</v>
      </c>
      <c r="N92" s="92">
        <f>SUM(N93:N111)</f>
        <v>10261222.697741931</v>
      </c>
      <c r="O92" s="93">
        <f>N92/N15</f>
        <v>0.1418330331836109</v>
      </c>
      <c r="P92" s="92">
        <f>SUM(P93:P111)</f>
        <v>8611488.467741929</v>
      </c>
      <c r="Q92" s="93">
        <f t="shared" ref="Q92:Q111" si="110">P92/$P$15</f>
        <v>0.13421553186971261</v>
      </c>
      <c r="R92" s="92">
        <f>SUM(R93:R111)</f>
        <v>8336582.5677419296</v>
      </c>
      <c r="S92" s="93">
        <f t="shared" ref="S92:S111" si="111">R92/$R$15</f>
        <v>0.10553130806202962</v>
      </c>
      <c r="T92" s="92">
        <f>SUM(T93:T111)</f>
        <v>7403395.7529946249</v>
      </c>
      <c r="U92" s="93">
        <f t="shared" ref="U92:U111" si="112">T92/$T$15</f>
        <v>9.1460336055239913E-2</v>
      </c>
      <c r="V92" s="92">
        <f>SUM(V93:V111)</f>
        <v>-933186.8147473057</v>
      </c>
      <c r="W92" s="92">
        <f>SUM(W93:W111)</f>
        <v>0</v>
      </c>
      <c r="X92" s="93">
        <f t="shared" ref="X92:X111" si="113">W92/$R$15</f>
        <v>0</v>
      </c>
    </row>
    <row r="93" spans="1:24" ht="14" hidden="1" x14ac:dyDescent="0.3">
      <c r="A93" s="74" t="s">
        <v>51</v>
      </c>
      <c r="B93" s="82">
        <v>29836</v>
      </c>
      <c r="C93" s="83">
        <f t="shared" si="106"/>
        <v>6.5630470015831069E-4</v>
      </c>
      <c r="D93" s="82">
        <v>27336</v>
      </c>
      <c r="E93" s="83">
        <f t="shared" si="107"/>
        <v>5.2022683518944781E-4</v>
      </c>
      <c r="F93" s="82">
        <v>27336</v>
      </c>
      <c r="G93" s="83">
        <f t="shared" si="108"/>
        <v>5.2567324042121532E-4</v>
      </c>
      <c r="H93" s="82">
        <v>27336</v>
      </c>
      <c r="I93" s="83">
        <f t="shared" si="109"/>
        <v>6.1963172120141363E-4</v>
      </c>
      <c r="J93" s="82">
        <v>27336</v>
      </c>
      <c r="K93" s="83">
        <f>J93/J15</f>
        <v>4.7065501895873698E-4</v>
      </c>
      <c r="L93" s="82">
        <v>27336</v>
      </c>
      <c r="M93" s="83">
        <f>L93/L15</f>
        <v>4.5664334237715463E-4</v>
      </c>
      <c r="N93" s="82">
        <v>27336</v>
      </c>
      <c r="O93" s="83">
        <f>N93/N15</f>
        <v>3.7784462040380305E-4</v>
      </c>
      <c r="P93" s="82">
        <v>27336</v>
      </c>
      <c r="Q93" s="83">
        <f t="shared" si="110"/>
        <v>4.26048968530119E-4</v>
      </c>
      <c r="R93" s="82">
        <v>27336</v>
      </c>
      <c r="S93" s="83">
        <f t="shared" si="111"/>
        <v>3.4604153605414693E-4</v>
      </c>
      <c r="T93" s="82">
        <v>27336</v>
      </c>
      <c r="U93" s="83">
        <f t="shared" si="112"/>
        <v>3.377044574977287E-4</v>
      </c>
      <c r="V93" s="82">
        <f t="shared" ref="V93:V111" si="114">T93-R93</f>
        <v>0</v>
      </c>
      <c r="W93" s="82">
        <v>0</v>
      </c>
      <c r="X93" s="83">
        <f t="shared" si="113"/>
        <v>0</v>
      </c>
    </row>
    <row r="94" spans="1:24" ht="14" hidden="1" x14ac:dyDescent="0.3">
      <c r="A94" s="74" t="s">
        <v>90</v>
      </c>
      <c r="B94" s="82">
        <v>355515</v>
      </c>
      <c r="C94" s="83">
        <f t="shared" si="106"/>
        <v>7.8202897666168995E-3</v>
      </c>
      <c r="D94" s="82">
        <v>246000</v>
      </c>
      <c r="E94" s="83">
        <f t="shared" si="107"/>
        <v>4.681584776726813E-3</v>
      </c>
      <c r="F94" s="82">
        <v>264100</v>
      </c>
      <c r="G94" s="83">
        <f t="shared" si="108"/>
        <v>5.0786619401244869E-3</v>
      </c>
      <c r="H94" s="82">
        <v>321333</v>
      </c>
      <c r="I94" s="83">
        <f t="shared" si="109"/>
        <v>7.2837328017564323E-3</v>
      </c>
      <c r="J94" s="82">
        <v>178000</v>
      </c>
      <c r="K94" s="83">
        <f>J94/J15</f>
        <v>3.0646983236265429E-3</v>
      </c>
      <c r="L94" s="82">
        <v>98000</v>
      </c>
      <c r="M94" s="83">
        <f>L94/L15</f>
        <v>1.6370737325490617E-3</v>
      </c>
      <c r="N94" s="82">
        <v>198000</v>
      </c>
      <c r="O94" s="83">
        <f>N94/N15</f>
        <v>2.7368025621873357E-3</v>
      </c>
      <c r="P94" s="82">
        <v>333620</v>
      </c>
      <c r="Q94" s="83">
        <f t="shared" si="110"/>
        <v>5.1996801609971574E-3</v>
      </c>
      <c r="R94" s="82">
        <v>193483</v>
      </c>
      <c r="S94" s="83">
        <f t="shared" si="111"/>
        <v>2.4492667003352545E-3</v>
      </c>
      <c r="T94" s="82">
        <v>103000</v>
      </c>
      <c r="U94" s="83">
        <f t="shared" si="112"/>
        <v>1.2724450951955683E-3</v>
      </c>
      <c r="V94" s="82">
        <f t="shared" si="114"/>
        <v>-90483</v>
      </c>
      <c r="W94" s="82">
        <v>0</v>
      </c>
      <c r="X94" s="83">
        <f t="shared" si="113"/>
        <v>0</v>
      </c>
    </row>
    <row r="95" spans="1:24" ht="14" hidden="1" x14ac:dyDescent="0.3">
      <c r="A95" s="74" t="s">
        <v>91</v>
      </c>
      <c r="B95" s="82">
        <v>23275</v>
      </c>
      <c r="C95" s="83">
        <f t="shared" si="106"/>
        <v>5.1198189757959117E-4</v>
      </c>
      <c r="D95" s="82">
        <v>24525</v>
      </c>
      <c r="E95" s="83">
        <f t="shared" si="107"/>
        <v>4.6673116524075241E-4</v>
      </c>
      <c r="F95" s="82">
        <v>25000</v>
      </c>
      <c r="G95" s="83">
        <f t="shared" si="108"/>
        <v>4.8075179289326831E-4</v>
      </c>
      <c r="H95" s="82">
        <v>0</v>
      </c>
      <c r="I95" s="83">
        <f t="shared" si="109"/>
        <v>0</v>
      </c>
      <c r="J95" s="82">
        <v>0</v>
      </c>
      <c r="K95" s="83">
        <f>J95/J15</f>
        <v>0</v>
      </c>
      <c r="L95" s="82">
        <v>0</v>
      </c>
      <c r="M95" s="83">
        <f>L95/L15</f>
        <v>0</v>
      </c>
      <c r="N95" s="82">
        <v>0</v>
      </c>
      <c r="O95" s="83">
        <f>N95/N15</f>
        <v>0</v>
      </c>
      <c r="P95" s="82">
        <v>0</v>
      </c>
      <c r="Q95" s="83">
        <f t="shared" si="110"/>
        <v>0</v>
      </c>
      <c r="R95" s="82">
        <v>0</v>
      </c>
      <c r="S95" s="83">
        <f t="shared" si="111"/>
        <v>0</v>
      </c>
      <c r="T95" s="82">
        <v>0</v>
      </c>
      <c r="U95" s="83">
        <f t="shared" si="112"/>
        <v>0</v>
      </c>
      <c r="V95" s="82">
        <f t="shared" si="114"/>
        <v>0</v>
      </c>
      <c r="W95" s="82">
        <v>0</v>
      </c>
      <c r="X95" s="83">
        <f t="shared" si="113"/>
        <v>0</v>
      </c>
    </row>
    <row r="96" spans="1:24" ht="14" hidden="1" x14ac:dyDescent="0.3">
      <c r="A96" s="74" t="s">
        <v>43</v>
      </c>
      <c r="B96" s="82">
        <v>55000</v>
      </c>
      <c r="C96" s="83">
        <f t="shared" si="106"/>
        <v>1.2098390705425355E-3</v>
      </c>
      <c r="D96" s="82">
        <v>60000</v>
      </c>
      <c r="E96" s="83">
        <f t="shared" si="107"/>
        <v>1.141849945543125E-3</v>
      </c>
      <c r="F96" s="82">
        <v>60000</v>
      </c>
      <c r="G96" s="83">
        <f t="shared" si="108"/>
        <v>1.1538043029438439E-3</v>
      </c>
      <c r="H96" s="82">
        <v>84963</v>
      </c>
      <c r="I96" s="83">
        <f t="shared" si="109"/>
        <v>1.9258768630536912E-3</v>
      </c>
      <c r="J96" s="82">
        <v>50140</v>
      </c>
      <c r="K96" s="83">
        <f>J96/J15</f>
        <v>8.6328075250918465E-4</v>
      </c>
      <c r="L96" s="82">
        <v>77484</v>
      </c>
      <c r="M96" s="83">
        <f>L96/L15</f>
        <v>1.2943573580901173E-3</v>
      </c>
      <c r="N96" s="82">
        <v>77484</v>
      </c>
      <c r="O96" s="83">
        <f>N96/N15</f>
        <v>1.0710020693359772E-3</v>
      </c>
      <c r="P96" s="82">
        <v>57484</v>
      </c>
      <c r="Q96" s="83">
        <f t="shared" si="110"/>
        <v>8.959247478411385E-4</v>
      </c>
      <c r="R96" s="82">
        <v>69300</v>
      </c>
      <c r="S96" s="83">
        <f t="shared" si="111"/>
        <v>8.7725630847791864E-4</v>
      </c>
      <c r="T96" s="82">
        <v>30883.333333333332</v>
      </c>
      <c r="U96" s="83">
        <f t="shared" si="112"/>
        <v>3.8152763129407571E-4</v>
      </c>
      <c r="V96" s="82">
        <f t="shared" si="114"/>
        <v>-38416.666666666672</v>
      </c>
      <c r="W96" s="82">
        <v>0</v>
      </c>
      <c r="X96" s="83">
        <f t="shared" si="113"/>
        <v>0</v>
      </c>
    </row>
    <row r="97" spans="1:24" ht="14" hidden="1" x14ac:dyDescent="0.3">
      <c r="A97" s="74" t="s">
        <v>92</v>
      </c>
      <c r="B97" s="82">
        <v>1000</v>
      </c>
      <c r="C97" s="83">
        <f t="shared" si="106"/>
        <v>2.199707400986428E-5</v>
      </c>
      <c r="D97" s="82">
        <v>21400</v>
      </c>
      <c r="E97" s="83">
        <f t="shared" si="107"/>
        <v>4.072598139103813E-4</v>
      </c>
      <c r="F97" s="82">
        <v>16810</v>
      </c>
      <c r="G97" s="83">
        <f t="shared" si="108"/>
        <v>3.2325750554143361E-4</v>
      </c>
      <c r="H97" s="82">
        <v>31010</v>
      </c>
      <c r="I97" s="83">
        <f t="shared" si="109"/>
        <v>7.0291116748814149E-4</v>
      </c>
      <c r="J97" s="82">
        <v>28860</v>
      </c>
      <c r="K97" s="83">
        <f>J97/J15</f>
        <v>4.9689434617900018E-4</v>
      </c>
      <c r="L97" s="82">
        <v>17000</v>
      </c>
      <c r="M97" s="83">
        <f>L97/L15</f>
        <v>2.8398217809524543E-4</v>
      </c>
      <c r="N97" s="82">
        <v>10000</v>
      </c>
      <c r="O97" s="83">
        <f>N97/N15</f>
        <v>1.3822235162562301E-4</v>
      </c>
      <c r="P97" s="82">
        <v>15000</v>
      </c>
      <c r="Q97" s="83">
        <f t="shared" si="110"/>
        <v>2.3378455252969657E-4</v>
      </c>
      <c r="R97" s="82">
        <v>12500</v>
      </c>
      <c r="S97" s="83">
        <f t="shared" si="111"/>
        <v>1.5823526487696943E-4</v>
      </c>
      <c r="T97" s="82">
        <v>4851</v>
      </c>
      <c r="U97" s="83">
        <f t="shared" si="112"/>
        <v>5.9928457832948561E-5</v>
      </c>
      <c r="V97" s="82">
        <f t="shared" si="114"/>
        <v>-7649</v>
      </c>
      <c r="W97" s="82">
        <v>0</v>
      </c>
      <c r="X97" s="83">
        <f t="shared" si="113"/>
        <v>0</v>
      </c>
    </row>
    <row r="98" spans="1:24" ht="14" hidden="1" x14ac:dyDescent="0.3">
      <c r="A98" s="74" t="s">
        <v>93</v>
      </c>
      <c r="B98" s="82">
        <v>59079</v>
      </c>
      <c r="C98" s="83">
        <f t="shared" si="106"/>
        <v>1.2995651354287719E-3</v>
      </c>
      <c r="D98" s="82">
        <v>50174</v>
      </c>
      <c r="E98" s="83">
        <f t="shared" si="107"/>
        <v>9.5485298612801265E-4</v>
      </c>
      <c r="F98" s="82">
        <v>24495</v>
      </c>
      <c r="G98" s="83">
        <f t="shared" si="108"/>
        <v>4.7104060667682427E-4</v>
      </c>
      <c r="H98" s="82">
        <v>78026</v>
      </c>
      <c r="I98" s="83">
        <f t="shared" si="109"/>
        <v>1.768634206850362E-3</v>
      </c>
      <c r="J98" s="82">
        <v>43698</v>
      </c>
      <c r="K98" s="83">
        <f>J98/J15</f>
        <v>7.5236622104400382E-4</v>
      </c>
      <c r="L98" s="82">
        <v>3927</v>
      </c>
      <c r="M98" s="83">
        <f>L98/L15</f>
        <v>6.5599883140001687E-5</v>
      </c>
      <c r="N98" s="82">
        <v>10184</v>
      </c>
      <c r="O98" s="83">
        <f>N98/N15</f>
        <v>1.4076564289553447E-4</v>
      </c>
      <c r="P98" s="82">
        <v>17192</v>
      </c>
      <c r="Q98" s="83">
        <f t="shared" si="110"/>
        <v>2.6794826847270289E-4</v>
      </c>
      <c r="R98" s="82">
        <v>57148</v>
      </c>
      <c r="S98" s="83">
        <f t="shared" si="111"/>
        <v>7.2342631337512402E-4</v>
      </c>
      <c r="T98" s="82">
        <v>16559</v>
      </c>
      <c r="U98" s="83">
        <f t="shared" si="112"/>
        <v>2.0456716826547006E-4</v>
      </c>
      <c r="V98" s="82">
        <f t="shared" si="114"/>
        <v>-40589</v>
      </c>
      <c r="W98" s="82">
        <v>0</v>
      </c>
      <c r="X98" s="83">
        <f t="shared" si="113"/>
        <v>0</v>
      </c>
    </row>
    <row r="99" spans="1:24" ht="14" hidden="1" x14ac:dyDescent="0.3">
      <c r="A99" s="74" t="s">
        <v>94</v>
      </c>
      <c r="B99" s="82">
        <v>79900</v>
      </c>
      <c r="C99" s="83">
        <f t="shared" si="106"/>
        <v>1.757566213388156E-3</v>
      </c>
      <c r="D99" s="82">
        <v>71100</v>
      </c>
      <c r="E99" s="83">
        <f t="shared" si="107"/>
        <v>1.3530921854686033E-3</v>
      </c>
      <c r="F99" s="82">
        <v>98100</v>
      </c>
      <c r="G99" s="83">
        <f t="shared" si="108"/>
        <v>1.8864700353131848E-3</v>
      </c>
      <c r="H99" s="82">
        <v>87000</v>
      </c>
      <c r="I99" s="83">
        <f t="shared" si="109"/>
        <v>1.9720500345523479E-3</v>
      </c>
      <c r="J99" s="82">
        <v>102160</v>
      </c>
      <c r="K99" s="83">
        <f>J99/J15</f>
        <v>1.7589302288858856E-3</v>
      </c>
      <c r="L99" s="82">
        <v>98300</v>
      </c>
      <c r="M99" s="83">
        <f>L99/L15</f>
        <v>1.6420851827507426E-3</v>
      </c>
      <c r="N99" s="82">
        <v>92000</v>
      </c>
      <c r="O99" s="83">
        <f>N99/N15</f>
        <v>1.2716456349557317E-3</v>
      </c>
      <c r="P99" s="82">
        <v>99500</v>
      </c>
      <c r="Q99" s="83">
        <f t="shared" si="110"/>
        <v>1.5507708651136538E-3</v>
      </c>
      <c r="R99" s="82">
        <v>122700</v>
      </c>
      <c r="S99" s="83">
        <f t="shared" si="111"/>
        <v>1.5532373600323321E-3</v>
      </c>
      <c r="T99" s="82">
        <v>111900</v>
      </c>
      <c r="U99" s="83">
        <f t="shared" si="112"/>
        <v>1.382394234489166E-3</v>
      </c>
      <c r="V99" s="82">
        <f t="shared" si="114"/>
        <v>-10800</v>
      </c>
      <c r="W99" s="82">
        <v>0</v>
      </c>
      <c r="X99" s="83">
        <f t="shared" si="113"/>
        <v>0</v>
      </c>
    </row>
    <row r="100" spans="1:24" ht="14" hidden="1" x14ac:dyDescent="0.3">
      <c r="A100" s="74" t="s">
        <v>95</v>
      </c>
      <c r="B100" s="82">
        <v>0</v>
      </c>
      <c r="C100" s="83">
        <f t="shared" si="106"/>
        <v>0</v>
      </c>
      <c r="D100" s="82">
        <v>34500</v>
      </c>
      <c r="E100" s="83">
        <f t="shared" si="107"/>
        <v>6.5656371868729694E-4</v>
      </c>
      <c r="F100" s="82">
        <v>0</v>
      </c>
      <c r="G100" s="83">
        <f t="shared" si="108"/>
        <v>0</v>
      </c>
      <c r="H100" s="82">
        <v>77758</v>
      </c>
      <c r="I100" s="83">
        <f t="shared" si="109"/>
        <v>1.7625593860542698E-3</v>
      </c>
      <c r="J100" s="82">
        <v>-57799.785704128444</v>
      </c>
      <c r="K100" s="83">
        <f>J100/J15</f>
        <v>-9.9516239524390939E-4</v>
      </c>
      <c r="L100" s="82">
        <v>0</v>
      </c>
      <c r="M100" s="83">
        <f>L100/L15</f>
        <v>0</v>
      </c>
      <c r="N100" s="82">
        <v>0</v>
      </c>
      <c r="O100" s="83">
        <f>N100/N15</f>
        <v>0</v>
      </c>
      <c r="P100" s="82">
        <v>8000</v>
      </c>
      <c r="Q100" s="83">
        <f t="shared" si="110"/>
        <v>1.2468509468250484E-4</v>
      </c>
      <c r="R100" s="82">
        <v>0</v>
      </c>
      <c r="S100" s="83">
        <f t="shared" si="111"/>
        <v>0</v>
      </c>
      <c r="T100" s="82">
        <v>7000</v>
      </c>
      <c r="U100" s="83">
        <f t="shared" si="112"/>
        <v>8.6476851129795905E-5</v>
      </c>
      <c r="V100" s="82">
        <f t="shared" si="114"/>
        <v>7000</v>
      </c>
      <c r="W100" s="82">
        <v>0</v>
      </c>
      <c r="X100" s="83">
        <f t="shared" si="113"/>
        <v>0</v>
      </c>
    </row>
    <row r="101" spans="1:24" ht="14" hidden="1" x14ac:dyDescent="0.3">
      <c r="A101" s="74" t="s">
        <v>96</v>
      </c>
      <c r="B101" s="82">
        <v>1071698</v>
      </c>
      <c r="C101" s="83">
        <f t="shared" si="106"/>
        <v>2.3574220222223531E-2</v>
      </c>
      <c r="D101" s="82">
        <v>1490596</v>
      </c>
      <c r="E101" s="83">
        <f t="shared" si="107"/>
        <v>2.8367282690446669E-2</v>
      </c>
      <c r="F101" s="82">
        <v>1451681</v>
      </c>
      <c r="G101" s="83">
        <f t="shared" si="108"/>
        <v>2.7915929738363706E-2</v>
      </c>
      <c r="H101" s="82">
        <v>1329123</v>
      </c>
      <c r="I101" s="83">
        <f t="shared" si="109"/>
        <v>3.0127552391658853E-2</v>
      </c>
      <c r="J101" s="82">
        <v>1063681</v>
      </c>
      <c r="K101" s="83">
        <f>J101/J15</f>
        <v>1.8313827963895534E-2</v>
      </c>
      <c r="L101" s="82">
        <v>1359722</v>
      </c>
      <c r="M101" s="83">
        <f>L101/L15</f>
        <v>2.2713930303766075E-2</v>
      </c>
      <c r="N101" s="82">
        <v>1296490.33</v>
      </c>
      <c r="O101" s="83">
        <f>N101/N15</f>
        <v>1.7920394227248001E-2</v>
      </c>
      <c r="P101" s="82">
        <v>1591475.5</v>
      </c>
      <c r="Q101" s="83">
        <f t="shared" si="110"/>
        <v>2.4804159175298341E-2</v>
      </c>
      <c r="R101" s="82">
        <v>1284758</v>
      </c>
      <c r="S101" s="83">
        <f t="shared" si="111"/>
        <v>1.6263521794624442E-2</v>
      </c>
      <c r="T101" s="82">
        <v>1307989</v>
      </c>
      <c r="U101" s="83">
        <f t="shared" si="112"/>
        <v>1.6158681433201517E-2</v>
      </c>
      <c r="V101" s="82">
        <f t="shared" si="114"/>
        <v>23231</v>
      </c>
      <c r="W101" s="82">
        <v>0</v>
      </c>
      <c r="X101" s="83">
        <f t="shared" si="113"/>
        <v>0</v>
      </c>
    </row>
    <row r="102" spans="1:24" ht="14" hidden="1" x14ac:dyDescent="0.3">
      <c r="A102" s="74" t="s">
        <v>97</v>
      </c>
      <c r="B102" s="82">
        <v>681096</v>
      </c>
      <c r="C102" s="83">
        <f t="shared" si="106"/>
        <v>1.4982119119822522E-2</v>
      </c>
      <c r="D102" s="82">
        <v>154932</v>
      </c>
      <c r="E102" s="83">
        <f t="shared" si="107"/>
        <v>2.9484849293814576E-3</v>
      </c>
      <c r="F102" s="82">
        <v>86569</v>
      </c>
      <c r="G102" s="83">
        <f t="shared" si="108"/>
        <v>1.6647280783590938E-3</v>
      </c>
      <c r="H102" s="82">
        <v>29589.599999999999</v>
      </c>
      <c r="I102" s="83">
        <f t="shared" si="109"/>
        <v>6.7071461726885234E-4</v>
      </c>
      <c r="J102" s="82">
        <v>39760</v>
      </c>
      <c r="K102" s="83">
        <f>J102/J15</f>
        <v>6.8456407498534468E-4</v>
      </c>
      <c r="L102" s="82">
        <v>108740</v>
      </c>
      <c r="M102" s="83">
        <f>L102/L15</f>
        <v>1.8164836497692345E-3</v>
      </c>
      <c r="N102" s="82">
        <v>150993</v>
      </c>
      <c r="O102" s="83">
        <f>N102/N15</f>
        <v>2.0870607539007695E-3</v>
      </c>
      <c r="P102" s="82">
        <v>37800</v>
      </c>
      <c r="Q102" s="83">
        <f t="shared" si="110"/>
        <v>5.8913707237483529E-4</v>
      </c>
      <c r="R102" s="82">
        <v>238531</v>
      </c>
      <c r="S102" s="83">
        <f t="shared" si="111"/>
        <v>3.0195212773094717E-3</v>
      </c>
      <c r="T102" s="82">
        <v>66086</v>
      </c>
      <c r="U102" s="83">
        <f t="shared" si="112"/>
        <v>8.1641559768052749E-4</v>
      </c>
      <c r="V102" s="82">
        <f t="shared" si="114"/>
        <v>-172445</v>
      </c>
      <c r="W102" s="82">
        <v>0</v>
      </c>
      <c r="X102" s="83">
        <f t="shared" si="113"/>
        <v>0</v>
      </c>
    </row>
    <row r="103" spans="1:24" ht="14" hidden="1" x14ac:dyDescent="0.3">
      <c r="A103" s="74" t="s">
        <v>98</v>
      </c>
      <c r="B103" s="82">
        <v>239692</v>
      </c>
      <c r="C103" s="83">
        <f t="shared" si="106"/>
        <v>5.2725226635723897E-3</v>
      </c>
      <c r="D103" s="82">
        <v>450246</v>
      </c>
      <c r="E103" s="83">
        <f t="shared" si="107"/>
        <v>8.5685561763501651E-3</v>
      </c>
      <c r="F103" s="82">
        <v>492209</v>
      </c>
      <c r="G103" s="83">
        <f t="shared" si="108"/>
        <v>9.4652143691281079E-3</v>
      </c>
      <c r="H103" s="82">
        <v>560055</v>
      </c>
      <c r="I103" s="83">
        <f t="shared" si="109"/>
        <v>1.2694902093117416E-2</v>
      </c>
      <c r="J103" s="82">
        <v>2055220.9711879999</v>
      </c>
      <c r="K103" s="83">
        <f>J103/J15</f>
        <v>3.5385574522932464E-2</v>
      </c>
      <c r="L103" s="82">
        <v>3102404.6040245323</v>
      </c>
      <c r="M103" s="83">
        <f>L103/L15</f>
        <v>5.1825153928447297E-2</v>
      </c>
      <c r="N103" s="82">
        <v>2670239.23</v>
      </c>
      <c r="O103" s="83">
        <f>N103/N15</f>
        <v>3.6908674577359281E-2</v>
      </c>
      <c r="P103" s="82">
        <v>733984</v>
      </c>
      <c r="Q103" s="83">
        <f t="shared" si="110"/>
        <v>1.1439608066930453E-2</v>
      </c>
      <c r="R103" s="82">
        <v>548754</v>
      </c>
      <c r="S103" s="83">
        <f t="shared" si="111"/>
        <v>6.9465787633837192E-3</v>
      </c>
      <c r="T103" s="82">
        <v>144100</v>
      </c>
      <c r="U103" s="83">
        <f t="shared" si="112"/>
        <v>1.7801877496862271E-3</v>
      </c>
      <c r="V103" s="82">
        <f t="shared" si="114"/>
        <v>-404654</v>
      </c>
      <c r="W103" s="82">
        <v>0</v>
      </c>
      <c r="X103" s="83">
        <f t="shared" si="113"/>
        <v>0</v>
      </c>
    </row>
    <row r="104" spans="1:24" ht="14" hidden="1" x14ac:dyDescent="0.3">
      <c r="A104" s="74" t="s">
        <v>99</v>
      </c>
      <c r="B104" s="82">
        <v>239540</v>
      </c>
      <c r="C104" s="83">
        <f t="shared" si="106"/>
        <v>5.2691791083228903E-3</v>
      </c>
      <c r="D104" s="82">
        <v>239540</v>
      </c>
      <c r="E104" s="83">
        <f t="shared" si="107"/>
        <v>4.5586455992566695E-3</v>
      </c>
      <c r="F104" s="82">
        <v>239540</v>
      </c>
      <c r="G104" s="83">
        <f t="shared" si="108"/>
        <v>4.6063713787861393E-3</v>
      </c>
      <c r="H104" s="82">
        <v>251340</v>
      </c>
      <c r="I104" s="83">
        <f t="shared" si="109"/>
        <v>5.6971845480964034E-3</v>
      </c>
      <c r="J104" s="82">
        <v>279660</v>
      </c>
      <c r="K104" s="83">
        <f>J104/J15</f>
        <v>4.8150198493561742E-3</v>
      </c>
      <c r="L104" s="82">
        <v>279660</v>
      </c>
      <c r="M104" s="83">
        <f>L104/L15</f>
        <v>4.6716738780068429E-3</v>
      </c>
      <c r="N104" s="82">
        <v>279660</v>
      </c>
      <c r="O104" s="83">
        <f>N104/N15</f>
        <v>3.8655262855621731E-3</v>
      </c>
      <c r="P104" s="82">
        <v>362260</v>
      </c>
      <c r="Q104" s="83">
        <f t="shared" si="110"/>
        <v>5.6460527999605253E-3</v>
      </c>
      <c r="R104" s="82">
        <v>362260</v>
      </c>
      <c r="S104" s="83">
        <f t="shared" si="111"/>
        <v>4.5857845643464757E-3</v>
      </c>
      <c r="T104" s="82">
        <v>338320</v>
      </c>
      <c r="U104" s="83">
        <f t="shared" si="112"/>
        <v>4.1795497534617932E-3</v>
      </c>
      <c r="V104" s="82">
        <f t="shared" si="114"/>
        <v>-23940</v>
      </c>
      <c r="W104" s="82">
        <v>0</v>
      </c>
      <c r="X104" s="83">
        <f t="shared" si="113"/>
        <v>0</v>
      </c>
    </row>
    <row r="105" spans="1:24" ht="14" hidden="1" x14ac:dyDescent="0.3">
      <c r="A105" s="74" t="s">
        <v>100</v>
      </c>
      <c r="B105" s="82">
        <v>5088612</v>
      </c>
      <c r="C105" s="83">
        <f t="shared" si="106"/>
        <v>0.1119345747714835</v>
      </c>
      <c r="D105" s="82">
        <v>5392097</v>
      </c>
      <c r="E105" s="83">
        <f t="shared" si="107"/>
        <v>0.10261609443022081</v>
      </c>
      <c r="F105" s="82">
        <v>5536250.3383666668</v>
      </c>
      <c r="G105" s="83">
        <f t="shared" si="108"/>
        <v>0.10646249104302953</v>
      </c>
      <c r="H105" s="82">
        <v>4507052.814516129</v>
      </c>
      <c r="I105" s="83">
        <f t="shared" si="109"/>
        <v>0.1021624558459286</v>
      </c>
      <c r="J105" s="82">
        <v>4257052.814516129</v>
      </c>
      <c r="K105" s="83">
        <f>J105/J15</f>
        <v>7.3295408001332801E-2</v>
      </c>
      <c r="L105" s="82">
        <v>4271062.8200333333</v>
      </c>
      <c r="M105" s="83">
        <f>L105/L15</f>
        <v>7.1347395436158062E-2</v>
      </c>
      <c r="N105" s="82">
        <v>4229676.9677419299</v>
      </c>
      <c r="O105" s="83">
        <f>N105/N15</f>
        <v>5.8463589709802394E-2</v>
      </c>
      <c r="P105" s="82">
        <v>4299676.9677419299</v>
      </c>
      <c r="Q105" s="83">
        <f t="shared" si="110"/>
        <v>6.701320372838597E-2</v>
      </c>
      <c r="R105" s="82">
        <v>4399676.9677419299</v>
      </c>
      <c r="S105" s="83">
        <f t="shared" si="111"/>
        <v>5.5694724029099682E-2</v>
      </c>
      <c r="T105" s="82">
        <v>4410559.4196612909</v>
      </c>
      <c r="U105" s="83">
        <f t="shared" si="112"/>
        <v>5.4487327190452642E-2</v>
      </c>
      <c r="V105" s="82">
        <f t="shared" si="114"/>
        <v>10882.451919361018</v>
      </c>
      <c r="W105" s="82">
        <v>0</v>
      </c>
      <c r="X105" s="83">
        <f t="shared" si="113"/>
        <v>0</v>
      </c>
    </row>
    <row r="106" spans="1:24" ht="14" hidden="1" x14ac:dyDescent="0.3">
      <c r="A106" s="74" t="s">
        <v>54</v>
      </c>
      <c r="B106" s="82">
        <v>0</v>
      </c>
      <c r="C106" s="83">
        <f t="shared" si="106"/>
        <v>0</v>
      </c>
      <c r="D106" s="82">
        <v>0</v>
      </c>
      <c r="E106" s="83">
        <f t="shared" si="107"/>
        <v>0</v>
      </c>
      <c r="F106" s="82">
        <v>0</v>
      </c>
      <c r="G106" s="83">
        <f t="shared" si="108"/>
        <v>0</v>
      </c>
      <c r="H106" s="82">
        <v>0</v>
      </c>
      <c r="I106" s="83">
        <f t="shared" si="109"/>
        <v>0</v>
      </c>
      <c r="J106" s="82">
        <v>0</v>
      </c>
      <c r="K106" s="83">
        <f>J106/J15</f>
        <v>0</v>
      </c>
      <c r="L106" s="82">
        <v>0</v>
      </c>
      <c r="M106" s="83">
        <f>L106/L15</f>
        <v>0</v>
      </c>
      <c r="N106" s="82">
        <v>0</v>
      </c>
      <c r="O106" s="83">
        <f>N106/N15</f>
        <v>0</v>
      </c>
      <c r="P106" s="82">
        <v>0</v>
      </c>
      <c r="Q106" s="83">
        <f t="shared" si="110"/>
        <v>0</v>
      </c>
      <c r="R106" s="82">
        <v>0</v>
      </c>
      <c r="S106" s="83">
        <f t="shared" si="111"/>
        <v>0</v>
      </c>
      <c r="T106" s="82">
        <v>0</v>
      </c>
      <c r="U106" s="83">
        <f t="shared" si="112"/>
        <v>0</v>
      </c>
      <c r="V106" s="82">
        <f t="shared" si="114"/>
        <v>0</v>
      </c>
      <c r="W106" s="82">
        <v>0</v>
      </c>
      <c r="X106" s="83">
        <f t="shared" si="113"/>
        <v>0</v>
      </c>
    </row>
    <row r="107" spans="1:24" ht="14" hidden="1" x14ac:dyDescent="0.3">
      <c r="A107" s="2" t="s">
        <v>46</v>
      </c>
      <c r="B107" s="82">
        <v>0</v>
      </c>
      <c r="C107" s="83">
        <f t="shared" si="106"/>
        <v>0</v>
      </c>
      <c r="D107" s="82">
        <v>0</v>
      </c>
      <c r="E107" s="83">
        <f t="shared" si="107"/>
        <v>0</v>
      </c>
      <c r="F107" s="82">
        <v>0</v>
      </c>
      <c r="G107" s="83">
        <f t="shared" si="108"/>
        <v>0</v>
      </c>
      <c r="H107" s="82">
        <v>46505</v>
      </c>
      <c r="I107" s="83">
        <f t="shared" si="109"/>
        <v>1.0541400788144477E-3</v>
      </c>
      <c r="J107" s="82">
        <v>12000</v>
      </c>
      <c r="K107" s="83">
        <f>J107/J15</f>
        <v>2.0660887575010402E-4</v>
      </c>
      <c r="L107" s="82">
        <v>23205</v>
      </c>
      <c r="M107" s="83">
        <f>L107/L15</f>
        <v>3.8763567310000997E-4</v>
      </c>
      <c r="N107" s="82">
        <v>23205</v>
      </c>
      <c r="O107" s="83">
        <f>N107/N15</f>
        <v>3.2074496694725819E-4</v>
      </c>
      <c r="P107" s="82">
        <v>25000</v>
      </c>
      <c r="Q107" s="83">
        <f t="shared" si="110"/>
        <v>3.8964092088282758E-4</v>
      </c>
      <c r="R107" s="82">
        <v>25000</v>
      </c>
      <c r="S107" s="83">
        <f t="shared" si="111"/>
        <v>3.1647052975393886E-4</v>
      </c>
      <c r="T107" s="82">
        <v>15000</v>
      </c>
      <c r="U107" s="83">
        <f t="shared" si="112"/>
        <v>1.8530753813527693E-4</v>
      </c>
      <c r="V107" s="82">
        <f t="shared" si="114"/>
        <v>-10000</v>
      </c>
      <c r="W107" s="82">
        <v>0</v>
      </c>
      <c r="X107" s="83">
        <f t="shared" si="113"/>
        <v>0</v>
      </c>
    </row>
    <row r="108" spans="1:24" ht="14" hidden="1" x14ac:dyDescent="0.3">
      <c r="A108" s="2" t="s">
        <v>101</v>
      </c>
      <c r="B108" s="82">
        <v>63665</v>
      </c>
      <c r="C108" s="83">
        <f t="shared" si="106"/>
        <v>1.4004437168380094E-3</v>
      </c>
      <c r="D108" s="82">
        <v>71048</v>
      </c>
      <c r="E108" s="83">
        <f t="shared" si="107"/>
        <v>1.3521025821824659E-3</v>
      </c>
      <c r="F108" s="82">
        <v>57688</v>
      </c>
      <c r="G108" s="83">
        <f t="shared" si="108"/>
        <v>1.1093443771370746E-3</v>
      </c>
      <c r="H108" s="82">
        <v>77714</v>
      </c>
      <c r="I108" s="83">
        <f t="shared" si="109"/>
        <v>1.7615620274161053E-3</v>
      </c>
      <c r="J108" s="82">
        <v>65367</v>
      </c>
      <c r="K108" s="83">
        <f>J108/J15</f>
        <v>1.1254501984297542E-3</v>
      </c>
      <c r="L108" s="82">
        <v>65581</v>
      </c>
      <c r="M108" s="83">
        <f>L108/L15</f>
        <v>1.0955197189214288E-3</v>
      </c>
      <c r="N108" s="82">
        <v>66046</v>
      </c>
      <c r="O108" s="83">
        <f>N108/N15</f>
        <v>9.1290334354658968E-4</v>
      </c>
      <c r="P108" s="82">
        <v>85139</v>
      </c>
      <c r="Q108" s="83">
        <f t="shared" si="110"/>
        <v>1.3269455345217224E-3</v>
      </c>
      <c r="R108" s="82">
        <v>79053</v>
      </c>
      <c r="S108" s="83">
        <f t="shared" si="111"/>
        <v>1.0007177915455252E-3</v>
      </c>
      <c r="T108" s="82">
        <v>41272</v>
      </c>
      <c r="U108" s="83">
        <f t="shared" si="112"/>
        <v>5.0986751426127669E-4</v>
      </c>
      <c r="V108" s="82">
        <f t="shared" si="114"/>
        <v>-37781</v>
      </c>
      <c r="W108" s="82">
        <v>0</v>
      </c>
      <c r="X108" s="83">
        <f t="shared" si="113"/>
        <v>0</v>
      </c>
    </row>
    <row r="109" spans="1:24" ht="14" hidden="1" x14ac:dyDescent="0.3">
      <c r="A109" s="2" t="s">
        <v>102</v>
      </c>
      <c r="B109" s="82">
        <v>0</v>
      </c>
      <c r="C109" s="83">
        <f t="shared" si="106"/>
        <v>0</v>
      </c>
      <c r="D109" s="82">
        <v>0</v>
      </c>
      <c r="E109" s="83">
        <f t="shared" si="107"/>
        <v>0</v>
      </c>
      <c r="F109" s="82">
        <v>0</v>
      </c>
      <c r="G109" s="83">
        <f t="shared" si="108"/>
        <v>0</v>
      </c>
      <c r="H109" s="82">
        <v>0</v>
      </c>
      <c r="I109" s="83">
        <f t="shared" si="109"/>
        <v>0</v>
      </c>
      <c r="J109" s="82">
        <v>0</v>
      </c>
      <c r="K109" s="83">
        <f>J109/J15</f>
        <v>0</v>
      </c>
      <c r="L109" s="82">
        <v>0</v>
      </c>
      <c r="M109" s="83">
        <f>L109/L15</f>
        <v>0</v>
      </c>
      <c r="N109" s="82">
        <v>0</v>
      </c>
      <c r="O109" s="83">
        <f>N109/N15</f>
        <v>0</v>
      </c>
      <c r="P109" s="82">
        <v>0</v>
      </c>
      <c r="Q109" s="83">
        <f t="shared" si="110"/>
        <v>0</v>
      </c>
      <c r="R109" s="82">
        <v>0</v>
      </c>
      <c r="S109" s="83">
        <f t="shared" si="111"/>
        <v>0</v>
      </c>
      <c r="T109" s="82">
        <v>0</v>
      </c>
      <c r="U109" s="83">
        <f t="shared" si="112"/>
        <v>0</v>
      </c>
      <c r="V109" s="82">
        <f t="shared" si="114"/>
        <v>0</v>
      </c>
      <c r="W109" s="82">
        <v>0</v>
      </c>
      <c r="X109" s="83">
        <f t="shared" si="113"/>
        <v>0</v>
      </c>
    </row>
    <row r="110" spans="1:24" ht="14" hidden="1" x14ac:dyDescent="0.3">
      <c r="A110" s="2" t="s">
        <v>103</v>
      </c>
      <c r="B110" s="82">
        <v>655896</v>
      </c>
      <c r="C110" s="83">
        <f t="shared" si="106"/>
        <v>1.4427792854773943E-2</v>
      </c>
      <c r="D110" s="82">
        <v>499060</v>
      </c>
      <c r="E110" s="83">
        <f t="shared" si="107"/>
        <v>9.4975272303792005E-3</v>
      </c>
      <c r="F110" s="82">
        <v>704077</v>
      </c>
      <c r="G110" s="83">
        <f t="shared" si="108"/>
        <v>1.3539451203396547E-2</v>
      </c>
      <c r="H110" s="82">
        <v>790061</v>
      </c>
      <c r="I110" s="83">
        <f t="shared" si="109"/>
        <v>1.7908503705154743E-2</v>
      </c>
      <c r="J110" s="82">
        <v>703801</v>
      </c>
      <c r="K110" s="83">
        <f>J110/J15</f>
        <v>1.2117627780149914E-2</v>
      </c>
      <c r="L110" s="82">
        <v>715697.17</v>
      </c>
      <c r="M110" s="83">
        <f>L110/L15</f>
        <v>1.1955602423129597E-2</v>
      </c>
      <c r="N110" s="82">
        <v>820845.17</v>
      </c>
      <c r="O110" s="83">
        <f>N110/N15</f>
        <v>1.1345914971793431E-2</v>
      </c>
      <c r="P110" s="82">
        <v>656823</v>
      </c>
      <c r="Q110" s="83">
        <f t="shared" si="110"/>
        <v>1.0237004743080858E-2</v>
      </c>
      <c r="R110" s="82">
        <v>504750.6</v>
      </c>
      <c r="S110" s="83">
        <f t="shared" si="111"/>
        <v>6.3895475910247402E-3</v>
      </c>
      <c r="T110" s="82">
        <v>420931</v>
      </c>
      <c r="U110" s="83">
        <f t="shared" si="112"/>
        <v>5.2001124889880174E-3</v>
      </c>
      <c r="V110" s="82">
        <f t="shared" si="114"/>
        <v>-83819.599999999977</v>
      </c>
      <c r="W110" s="82">
        <v>0</v>
      </c>
      <c r="X110" s="83">
        <f t="shared" si="113"/>
        <v>0</v>
      </c>
    </row>
    <row r="111" spans="1:24" ht="14" hidden="1" x14ac:dyDescent="0.3">
      <c r="A111" s="2" t="s">
        <v>104</v>
      </c>
      <c r="B111" s="82">
        <v>409373</v>
      </c>
      <c r="C111" s="83">
        <f t="shared" si="106"/>
        <v>9.0050081786401705E-3</v>
      </c>
      <c r="D111" s="82">
        <v>375881</v>
      </c>
      <c r="E111" s="83">
        <f t="shared" si="107"/>
        <v>7.1533283230115902E-3</v>
      </c>
      <c r="F111" s="82">
        <v>227184</v>
      </c>
      <c r="G111" s="83">
        <f t="shared" si="108"/>
        <v>4.3687646126665709E-3</v>
      </c>
      <c r="H111" s="82">
        <v>292230</v>
      </c>
      <c r="I111" s="83">
        <f t="shared" si="109"/>
        <v>6.6240480643360074E-3</v>
      </c>
      <c r="J111" s="82">
        <v>360226</v>
      </c>
      <c r="K111" s="83">
        <f>J111/J15</f>
        <v>6.2021574063297474E-3</v>
      </c>
      <c r="L111" s="82">
        <v>307593</v>
      </c>
      <c r="M111" s="83">
        <f>L111/L15</f>
        <v>5.1382900062853423E-3</v>
      </c>
      <c r="N111" s="82">
        <v>309063</v>
      </c>
      <c r="O111" s="83">
        <f>N111/N15</f>
        <v>4.2719414660469923E-3</v>
      </c>
      <c r="P111" s="82">
        <v>261198</v>
      </c>
      <c r="Q111" s="83">
        <f t="shared" si="110"/>
        <v>4.0709371701101119E-3</v>
      </c>
      <c r="R111" s="82">
        <v>411332</v>
      </c>
      <c r="S111" s="83">
        <f t="shared" si="111"/>
        <v>5.2069782377898877E-3</v>
      </c>
      <c r="T111" s="82">
        <v>357609</v>
      </c>
      <c r="U111" s="83">
        <f t="shared" si="112"/>
        <v>4.4178428936678836E-3</v>
      </c>
      <c r="V111" s="82">
        <f t="shared" si="114"/>
        <v>-53723</v>
      </c>
      <c r="W111" s="82">
        <v>0</v>
      </c>
      <c r="X111" s="83">
        <f t="shared" si="113"/>
        <v>0</v>
      </c>
    </row>
    <row r="112" spans="1:24" ht="14" hidden="1" x14ac:dyDescent="0.3">
      <c r="F112" s="90"/>
      <c r="J112" s="90"/>
      <c r="L112" s="90"/>
      <c r="N112" s="90"/>
      <c r="P112" s="90"/>
    </row>
    <row r="113" spans="1:24" ht="14" hidden="1" x14ac:dyDescent="0.3">
      <c r="A113" s="94" t="s">
        <v>105</v>
      </c>
      <c r="B113" s="95">
        <f>SUM(B114:B115)</f>
        <v>-426148</v>
      </c>
      <c r="C113" s="96">
        <f t="shared" ref="C113:C126" si="115">B113/$B$15</f>
        <v>-9.3740090951556446E-3</v>
      </c>
      <c r="D113" s="95">
        <f>SUM(D114:D115)</f>
        <v>0</v>
      </c>
      <c r="E113" s="97">
        <f t="shared" ref="E113:E126" si="116">D113/$D$15</f>
        <v>0</v>
      </c>
      <c r="F113" s="98">
        <f>SUM(F114:F115)</f>
        <v>225000</v>
      </c>
      <c r="G113" s="97">
        <f t="shared" ref="G113:G127" si="117">F113/$F$15</f>
        <v>4.3267661360394151E-3</v>
      </c>
      <c r="H113" s="95">
        <f>SUM(H114:H115)</f>
        <v>0</v>
      </c>
      <c r="I113" s="97">
        <f t="shared" ref="I113:I127" si="118">H113/$H$15</f>
        <v>0</v>
      </c>
      <c r="J113" s="98">
        <f>SUM(J114:J115)</f>
        <v>178000</v>
      </c>
      <c r="K113" s="97">
        <f>J113/J15</f>
        <v>3.0646983236265429E-3</v>
      </c>
      <c r="L113" s="98">
        <f>SUM(L114:L115)</f>
        <v>0</v>
      </c>
      <c r="M113" s="97">
        <f>L113/L15</f>
        <v>0</v>
      </c>
      <c r="N113" s="98">
        <f>SUM(N114:N115)</f>
        <v>0</v>
      </c>
      <c r="O113" s="97">
        <f>N113/N15</f>
        <v>0</v>
      </c>
      <c r="P113" s="98">
        <f>SUM(P114:P115)</f>
        <v>0</v>
      </c>
      <c r="Q113" s="97">
        <f t="shared" ref="Q113:Q127" si="119">P113/$P$15</f>
        <v>0</v>
      </c>
      <c r="R113" s="95">
        <f>SUM(R114:R115)</f>
        <v>0</v>
      </c>
      <c r="S113" s="97">
        <f t="shared" ref="S113:S126" si="120">R113/$R$15</f>
        <v>0</v>
      </c>
      <c r="T113" s="95">
        <f>SUM(T114:T115)</f>
        <v>0</v>
      </c>
      <c r="U113" s="97">
        <f t="shared" ref="U113:U127" si="121">T113/$T$15</f>
        <v>0</v>
      </c>
      <c r="V113" s="95">
        <f>SUM(V114:V115)</f>
        <v>0</v>
      </c>
      <c r="W113" s="95">
        <f>SUM(W114:W115)</f>
        <v>0</v>
      </c>
      <c r="X113" s="97">
        <f t="shared" ref="X113:X125" si="122">W113/$R$15</f>
        <v>0</v>
      </c>
    </row>
    <row r="114" spans="1:24" ht="14" hidden="1" x14ac:dyDescent="0.3">
      <c r="A114" s="99" t="s">
        <v>106</v>
      </c>
      <c r="B114" s="100">
        <v>102916</v>
      </c>
      <c r="C114" s="88">
        <f t="shared" si="115"/>
        <v>2.2638508687991923E-3</v>
      </c>
      <c r="D114" s="82">
        <v>0</v>
      </c>
      <c r="E114" s="89">
        <f t="shared" si="116"/>
        <v>0</v>
      </c>
      <c r="F114" s="90">
        <v>225000</v>
      </c>
      <c r="G114" s="89">
        <f t="shared" si="117"/>
        <v>4.3267661360394151E-3</v>
      </c>
      <c r="H114" s="82">
        <v>0</v>
      </c>
      <c r="I114" s="89">
        <f t="shared" si="118"/>
        <v>0</v>
      </c>
      <c r="J114" s="90">
        <v>178000</v>
      </c>
      <c r="K114" s="89">
        <f>J114/J15</f>
        <v>3.0646983236265429E-3</v>
      </c>
      <c r="L114" s="90">
        <v>0</v>
      </c>
      <c r="M114" s="89">
        <f>L114/L15</f>
        <v>0</v>
      </c>
      <c r="N114" s="90">
        <v>0</v>
      </c>
      <c r="O114" s="89">
        <f>N114/N15</f>
        <v>0</v>
      </c>
      <c r="P114" s="90">
        <v>0</v>
      </c>
      <c r="Q114" s="89">
        <f t="shared" si="119"/>
        <v>0</v>
      </c>
      <c r="R114" s="82">
        <v>0</v>
      </c>
      <c r="S114" s="89">
        <f t="shared" si="120"/>
        <v>0</v>
      </c>
      <c r="T114" s="82">
        <v>0</v>
      </c>
      <c r="U114" s="89">
        <f t="shared" si="121"/>
        <v>0</v>
      </c>
      <c r="V114" s="90">
        <f>T114-R114</f>
        <v>0</v>
      </c>
      <c r="W114" s="82">
        <v>0</v>
      </c>
      <c r="X114" s="89">
        <f t="shared" si="122"/>
        <v>0</v>
      </c>
    </row>
    <row r="115" spans="1:24" ht="14" hidden="1" x14ac:dyDescent="0.3">
      <c r="A115" s="99" t="s">
        <v>107</v>
      </c>
      <c r="B115" s="100">
        <v>-529064</v>
      </c>
      <c r="C115" s="88">
        <f t="shared" si="115"/>
        <v>-1.1637859963954836E-2</v>
      </c>
      <c r="D115" s="82">
        <v>0</v>
      </c>
      <c r="E115" s="89">
        <f t="shared" si="116"/>
        <v>0</v>
      </c>
      <c r="F115" s="90">
        <v>0</v>
      </c>
      <c r="G115" s="89">
        <f t="shared" si="117"/>
        <v>0</v>
      </c>
      <c r="H115" s="82">
        <v>0</v>
      </c>
      <c r="I115" s="89">
        <f t="shared" si="118"/>
        <v>0</v>
      </c>
      <c r="J115" s="90">
        <v>0</v>
      </c>
      <c r="K115" s="89">
        <f>J115/J15</f>
        <v>0</v>
      </c>
      <c r="L115" s="90">
        <v>0</v>
      </c>
      <c r="M115" s="89">
        <f>L115/L15</f>
        <v>0</v>
      </c>
      <c r="N115" s="90">
        <v>0</v>
      </c>
      <c r="O115" s="89">
        <f>N115/N15</f>
        <v>0</v>
      </c>
      <c r="P115" s="90">
        <v>0</v>
      </c>
      <c r="Q115" s="89">
        <f t="shared" si="119"/>
        <v>0</v>
      </c>
      <c r="R115" s="82">
        <v>0</v>
      </c>
      <c r="S115" s="89">
        <f t="shared" si="120"/>
        <v>0</v>
      </c>
      <c r="T115" s="82">
        <v>0</v>
      </c>
      <c r="U115" s="89">
        <f t="shared" si="121"/>
        <v>0</v>
      </c>
      <c r="V115" s="90">
        <f>T115-R115</f>
        <v>0</v>
      </c>
      <c r="W115" s="82">
        <v>0</v>
      </c>
      <c r="X115" s="89">
        <f t="shared" si="122"/>
        <v>0</v>
      </c>
    </row>
    <row r="116" spans="1:24" s="106" customFormat="1" ht="14" hidden="1" x14ac:dyDescent="0.3">
      <c r="A116" s="101" t="s">
        <v>64</v>
      </c>
      <c r="B116" s="102">
        <f>SUM(B117:B126)</f>
        <v>3367750</v>
      </c>
      <c r="C116" s="103">
        <f t="shared" si="115"/>
        <v>7.4080645996720429E-2</v>
      </c>
      <c r="D116" s="102">
        <f>SUM(D117:D126)</f>
        <v>725989.03740000026</v>
      </c>
      <c r="E116" s="104">
        <f t="shared" si="116"/>
        <v>1.3816175713668269E-2</v>
      </c>
      <c r="F116" s="105">
        <f>SUM(F117:F126)</f>
        <v>55558.333333333328</v>
      </c>
      <c r="G116" s="104">
        <f t="shared" si="117"/>
        <v>1.0683907344064731E-3</v>
      </c>
      <c r="H116" s="102">
        <f>SUM(H117:H126)</f>
        <v>288100.80645161291</v>
      </c>
      <c r="I116" s="104">
        <f t="shared" si="118"/>
        <v>6.530450635832903E-3</v>
      </c>
      <c r="J116" s="105">
        <f>SUM(J117:J126)</f>
        <v>129800</v>
      </c>
      <c r="K116" s="104">
        <f>J116/J15</f>
        <v>2.2348193393636252E-3</v>
      </c>
      <c r="L116" s="105">
        <f>SUM(L117:L126)</f>
        <v>407400</v>
      </c>
      <c r="M116" s="104">
        <f>L116/L15</f>
        <v>6.8055493738825284E-3</v>
      </c>
      <c r="N116" s="105">
        <f>SUM(N117:N126)</f>
        <v>896576.9</v>
      </c>
      <c r="O116" s="104">
        <f>N116/N15</f>
        <v>1.2392696753121104E-2</v>
      </c>
      <c r="P116" s="105">
        <f>SUM(P117:P126)</f>
        <v>0</v>
      </c>
      <c r="Q116" s="104">
        <f t="shared" si="119"/>
        <v>0</v>
      </c>
      <c r="R116" s="102">
        <f>SUM(R117:R126)</f>
        <v>736731.68494000111</v>
      </c>
      <c r="S116" s="104">
        <f t="shared" si="120"/>
        <v>9.3261546647789659E-3</v>
      </c>
      <c r="T116" s="102">
        <f>SUM(T117:T126)</f>
        <v>0</v>
      </c>
      <c r="U116" s="104">
        <f t="shared" si="121"/>
        <v>0</v>
      </c>
      <c r="V116" s="102">
        <f>SUM(V117:V126)</f>
        <v>-736731.68494000111</v>
      </c>
      <c r="W116" s="102">
        <f>SUM(W117:W126)</f>
        <v>0</v>
      </c>
      <c r="X116" s="104">
        <f t="shared" si="122"/>
        <v>0</v>
      </c>
    </row>
    <row r="117" spans="1:24" ht="14" hidden="1" x14ac:dyDescent="0.3">
      <c r="A117" s="99" t="s">
        <v>108</v>
      </c>
      <c r="B117" s="100">
        <v>0</v>
      </c>
      <c r="C117" s="88">
        <f t="shared" si="115"/>
        <v>0</v>
      </c>
      <c r="D117" s="82">
        <v>725989.03740000026</v>
      </c>
      <c r="E117" s="89">
        <f t="shared" si="116"/>
        <v>1.3816175713668269E-2</v>
      </c>
      <c r="F117" s="90">
        <v>0</v>
      </c>
      <c r="G117" s="89">
        <f t="shared" si="117"/>
        <v>0</v>
      </c>
      <c r="H117" s="82">
        <v>0</v>
      </c>
      <c r="I117" s="89">
        <f t="shared" si="118"/>
        <v>0</v>
      </c>
      <c r="J117" s="90">
        <v>0</v>
      </c>
      <c r="K117" s="89">
        <f>J117/J15</f>
        <v>0</v>
      </c>
      <c r="L117" s="90">
        <v>0</v>
      </c>
      <c r="M117" s="89">
        <f>L117/L15</f>
        <v>0</v>
      </c>
      <c r="N117" s="90">
        <v>0</v>
      </c>
      <c r="O117" s="89">
        <f>N117/N15</f>
        <v>0</v>
      </c>
      <c r="P117" s="90">
        <v>0</v>
      </c>
      <c r="Q117" s="89">
        <f t="shared" si="119"/>
        <v>0</v>
      </c>
      <c r="R117" s="82">
        <v>0</v>
      </c>
      <c r="S117" s="89">
        <f t="shared" si="120"/>
        <v>0</v>
      </c>
      <c r="T117" s="82">
        <v>0</v>
      </c>
      <c r="U117" s="89">
        <f t="shared" si="121"/>
        <v>0</v>
      </c>
      <c r="V117" s="90">
        <f>T117-R117</f>
        <v>0</v>
      </c>
      <c r="W117" s="82">
        <v>0</v>
      </c>
      <c r="X117" s="89">
        <f t="shared" si="122"/>
        <v>0</v>
      </c>
    </row>
    <row r="118" spans="1:24" ht="14" hidden="1" x14ac:dyDescent="0.3">
      <c r="A118" s="99" t="s">
        <v>109</v>
      </c>
      <c r="B118" s="100">
        <v>623000</v>
      </c>
      <c r="C118" s="88">
        <f t="shared" si="115"/>
        <v>1.3704177108145447E-2</v>
      </c>
      <c r="D118" s="82">
        <v>0</v>
      </c>
      <c r="E118" s="89">
        <f t="shared" si="116"/>
        <v>0</v>
      </c>
      <c r="F118" s="90">
        <v>0</v>
      </c>
      <c r="G118" s="89">
        <f t="shared" si="117"/>
        <v>0</v>
      </c>
      <c r="H118" s="82">
        <v>0</v>
      </c>
      <c r="I118" s="89">
        <f t="shared" si="118"/>
        <v>0</v>
      </c>
      <c r="J118" s="90">
        <v>0</v>
      </c>
      <c r="K118" s="89">
        <f>J118/J15</f>
        <v>0</v>
      </c>
      <c r="L118" s="90">
        <v>0</v>
      </c>
      <c r="M118" s="89">
        <f>L118/L15</f>
        <v>0</v>
      </c>
      <c r="N118" s="90">
        <v>0</v>
      </c>
      <c r="O118" s="89">
        <f>N118/N15</f>
        <v>0</v>
      </c>
      <c r="P118" s="90">
        <v>0</v>
      </c>
      <c r="Q118" s="89">
        <f t="shared" si="119"/>
        <v>0</v>
      </c>
      <c r="R118" s="82">
        <v>0</v>
      </c>
      <c r="S118" s="89">
        <f t="shared" si="120"/>
        <v>0</v>
      </c>
      <c r="T118" s="82">
        <v>0</v>
      </c>
      <c r="U118" s="89">
        <f t="shared" si="121"/>
        <v>0</v>
      </c>
      <c r="V118" s="90">
        <f>T118-R118</f>
        <v>0</v>
      </c>
      <c r="W118" s="82">
        <v>0</v>
      </c>
      <c r="X118" s="89">
        <f t="shared" si="122"/>
        <v>0</v>
      </c>
    </row>
    <row r="119" spans="1:24" ht="14" hidden="1" x14ac:dyDescent="0.3">
      <c r="A119" s="99" t="s">
        <v>110</v>
      </c>
      <c r="B119" s="100">
        <v>0</v>
      </c>
      <c r="C119" s="88">
        <f t="shared" si="115"/>
        <v>0</v>
      </c>
      <c r="D119" s="82">
        <v>0</v>
      </c>
      <c r="E119" s="89">
        <f t="shared" si="116"/>
        <v>0</v>
      </c>
      <c r="F119" s="90">
        <v>0</v>
      </c>
      <c r="G119" s="89">
        <f t="shared" si="117"/>
        <v>0</v>
      </c>
      <c r="H119" s="82">
        <v>0</v>
      </c>
      <c r="I119" s="89">
        <f t="shared" si="118"/>
        <v>0</v>
      </c>
      <c r="J119" s="90">
        <v>0</v>
      </c>
      <c r="K119" s="89">
        <f>J119/J15</f>
        <v>0</v>
      </c>
      <c r="L119" s="90">
        <v>45000</v>
      </c>
      <c r="M119" s="89">
        <f>L119/L15</f>
        <v>7.5171753025212015E-4</v>
      </c>
      <c r="N119" s="90">
        <v>86000</v>
      </c>
      <c r="O119" s="89">
        <f>N119/N15</f>
        <v>1.1887122239803579E-3</v>
      </c>
      <c r="P119" s="90">
        <v>0</v>
      </c>
      <c r="Q119" s="89">
        <f t="shared" si="119"/>
        <v>0</v>
      </c>
      <c r="R119" s="82">
        <v>736731.68494000111</v>
      </c>
      <c r="S119" s="89">
        <f t="shared" si="120"/>
        <v>9.3261546647789659E-3</v>
      </c>
      <c r="T119" s="82">
        <v>0</v>
      </c>
      <c r="U119" s="89">
        <f t="shared" si="121"/>
        <v>0</v>
      </c>
      <c r="V119" s="90">
        <f>T119-R119</f>
        <v>-736731.68494000111</v>
      </c>
      <c r="W119" s="82"/>
      <c r="X119" s="89"/>
    </row>
    <row r="120" spans="1:24" ht="14" hidden="1" x14ac:dyDescent="0.3">
      <c r="A120" s="99" t="s">
        <v>111</v>
      </c>
      <c r="B120" s="100">
        <v>0</v>
      </c>
      <c r="C120" s="88">
        <f t="shared" si="115"/>
        <v>0</v>
      </c>
      <c r="D120" s="82">
        <v>0</v>
      </c>
      <c r="E120" s="89">
        <f t="shared" si="116"/>
        <v>0</v>
      </c>
      <c r="F120" s="90">
        <v>0</v>
      </c>
      <c r="G120" s="89">
        <f t="shared" si="117"/>
        <v>0</v>
      </c>
      <c r="H120" s="82">
        <v>0</v>
      </c>
      <c r="I120" s="89">
        <f t="shared" si="118"/>
        <v>0</v>
      </c>
      <c r="J120" s="90">
        <v>0</v>
      </c>
      <c r="K120" s="89">
        <f>J120/J15</f>
        <v>0</v>
      </c>
      <c r="L120" s="90">
        <v>362400</v>
      </c>
      <c r="M120" s="89">
        <f>L120/L15</f>
        <v>6.0538318436304077E-3</v>
      </c>
      <c r="N120" s="90">
        <v>550000</v>
      </c>
      <c r="O120" s="89">
        <f>N120/N15</f>
        <v>7.6022293394092657E-3</v>
      </c>
      <c r="P120" s="90">
        <v>0</v>
      </c>
      <c r="Q120" s="89">
        <f t="shared" si="119"/>
        <v>0</v>
      </c>
      <c r="R120" s="82">
        <v>0</v>
      </c>
      <c r="S120" s="89">
        <f t="shared" si="120"/>
        <v>0</v>
      </c>
      <c r="T120" s="107">
        <v>0</v>
      </c>
      <c r="U120" s="89">
        <f t="shared" si="121"/>
        <v>0</v>
      </c>
      <c r="V120" s="90">
        <f>T120-R120</f>
        <v>0</v>
      </c>
      <c r="W120" s="82"/>
      <c r="X120" s="89"/>
    </row>
    <row r="121" spans="1:24" ht="14" hidden="1" x14ac:dyDescent="0.3">
      <c r="A121" s="99" t="s">
        <v>112</v>
      </c>
      <c r="B121" s="100">
        <v>0</v>
      </c>
      <c r="C121" s="88">
        <f t="shared" si="115"/>
        <v>0</v>
      </c>
      <c r="D121" s="82">
        <v>0</v>
      </c>
      <c r="E121" s="89">
        <f t="shared" si="116"/>
        <v>0</v>
      </c>
      <c r="F121" s="90">
        <v>0</v>
      </c>
      <c r="G121" s="89">
        <f t="shared" si="117"/>
        <v>0</v>
      </c>
      <c r="H121" s="82">
        <v>0</v>
      </c>
      <c r="I121" s="89">
        <f t="shared" si="118"/>
        <v>0</v>
      </c>
      <c r="J121" s="90">
        <v>0</v>
      </c>
      <c r="K121" s="89">
        <f>J121/J15</f>
        <v>0</v>
      </c>
      <c r="L121" s="90"/>
      <c r="M121" s="89">
        <f>L121/L15</f>
        <v>0</v>
      </c>
      <c r="N121" s="90">
        <v>176596.9</v>
      </c>
      <c r="O121" s="89">
        <f>N121/N15</f>
        <v>2.4409638807794984E-3</v>
      </c>
      <c r="P121" s="90">
        <v>0</v>
      </c>
      <c r="Q121" s="89">
        <f t="shared" si="119"/>
        <v>0</v>
      </c>
      <c r="R121" s="82">
        <v>0</v>
      </c>
      <c r="S121" s="89">
        <f t="shared" si="120"/>
        <v>0</v>
      </c>
      <c r="T121" s="82">
        <v>0</v>
      </c>
      <c r="U121" s="89">
        <f t="shared" si="121"/>
        <v>0</v>
      </c>
      <c r="V121" s="90"/>
      <c r="W121" s="82"/>
      <c r="X121" s="89"/>
    </row>
    <row r="122" spans="1:24" ht="14" hidden="1" x14ac:dyDescent="0.3">
      <c r="A122" s="99" t="s">
        <v>113</v>
      </c>
      <c r="B122" s="100">
        <v>0</v>
      </c>
      <c r="C122" s="88">
        <f t="shared" si="115"/>
        <v>0</v>
      </c>
      <c r="D122" s="82">
        <v>0</v>
      </c>
      <c r="E122" s="89">
        <f t="shared" si="116"/>
        <v>0</v>
      </c>
      <c r="F122" s="90">
        <v>0</v>
      </c>
      <c r="G122" s="89">
        <f t="shared" si="117"/>
        <v>0</v>
      </c>
      <c r="H122" s="82">
        <v>0</v>
      </c>
      <c r="I122" s="89">
        <f t="shared" si="118"/>
        <v>0</v>
      </c>
      <c r="J122" s="90">
        <v>0</v>
      </c>
      <c r="K122" s="89">
        <f>J122/J15</f>
        <v>0</v>
      </c>
      <c r="L122" s="90"/>
      <c r="M122" s="89">
        <f>L122/L15</f>
        <v>0</v>
      </c>
      <c r="N122" s="90">
        <v>83980</v>
      </c>
      <c r="O122" s="89">
        <f>N122/N15</f>
        <v>1.160791308951982E-3</v>
      </c>
      <c r="P122" s="90">
        <v>0</v>
      </c>
      <c r="Q122" s="89">
        <f t="shared" si="119"/>
        <v>0</v>
      </c>
      <c r="R122" s="82">
        <v>0</v>
      </c>
      <c r="S122" s="89">
        <f t="shared" si="120"/>
        <v>0</v>
      </c>
      <c r="T122" s="82">
        <v>0</v>
      </c>
      <c r="U122" s="89">
        <f t="shared" si="121"/>
        <v>0</v>
      </c>
      <c r="V122" s="90"/>
      <c r="W122" s="82"/>
      <c r="X122" s="89"/>
    </row>
    <row r="123" spans="1:24" ht="14" hidden="1" x14ac:dyDescent="0.3">
      <c r="A123" s="99" t="s">
        <v>114</v>
      </c>
      <c r="B123" s="100">
        <v>922000</v>
      </c>
      <c r="C123" s="88">
        <f t="shared" si="115"/>
        <v>2.0281302237094869E-2</v>
      </c>
      <c r="D123" s="82">
        <v>0</v>
      </c>
      <c r="E123" s="89">
        <f t="shared" si="116"/>
        <v>0</v>
      </c>
      <c r="F123" s="90">
        <v>0</v>
      </c>
      <c r="G123" s="89">
        <f t="shared" si="117"/>
        <v>0</v>
      </c>
      <c r="H123" s="82">
        <v>0</v>
      </c>
      <c r="I123" s="89">
        <f t="shared" si="118"/>
        <v>0</v>
      </c>
      <c r="J123" s="90">
        <v>0</v>
      </c>
      <c r="K123" s="89">
        <f>J123/J15</f>
        <v>0</v>
      </c>
      <c r="L123" s="90">
        <v>0</v>
      </c>
      <c r="M123" s="89">
        <f t="shared" ref="M123" si="123">L123/L18</f>
        <v>0</v>
      </c>
      <c r="N123" s="90">
        <v>0</v>
      </c>
      <c r="O123" s="89">
        <f t="shared" ref="O123" si="124">N123/N18</f>
        <v>0</v>
      </c>
      <c r="P123" s="90">
        <v>0</v>
      </c>
      <c r="Q123" s="89">
        <f t="shared" si="119"/>
        <v>0</v>
      </c>
      <c r="R123" s="82">
        <v>0</v>
      </c>
      <c r="S123" s="89">
        <f t="shared" si="120"/>
        <v>0</v>
      </c>
      <c r="T123" s="82">
        <v>0</v>
      </c>
      <c r="U123" s="89">
        <f t="shared" si="121"/>
        <v>0</v>
      </c>
      <c r="V123" s="90">
        <f>T123-R123</f>
        <v>0</v>
      </c>
      <c r="W123" s="82">
        <v>0</v>
      </c>
      <c r="X123" s="89">
        <f t="shared" si="122"/>
        <v>0</v>
      </c>
    </row>
    <row r="124" spans="1:24" ht="13.5" hidden="1" customHeight="1" x14ac:dyDescent="0.3">
      <c r="A124" s="99" t="s">
        <v>115</v>
      </c>
      <c r="B124" s="100">
        <v>1822750</v>
      </c>
      <c r="C124" s="88">
        <f t="shared" si="115"/>
        <v>4.0095166651480121E-2</v>
      </c>
      <c r="D124" s="82">
        <v>0</v>
      </c>
      <c r="E124" s="89">
        <f t="shared" si="116"/>
        <v>0</v>
      </c>
      <c r="F124" s="90">
        <v>0</v>
      </c>
      <c r="G124" s="89">
        <f t="shared" si="117"/>
        <v>0</v>
      </c>
      <c r="H124" s="82">
        <v>0</v>
      </c>
      <c r="I124" s="89">
        <f t="shared" si="118"/>
        <v>0</v>
      </c>
      <c r="J124" s="90">
        <v>0</v>
      </c>
      <c r="K124" s="89">
        <f>J124/J15</f>
        <v>0</v>
      </c>
      <c r="L124" s="90">
        <v>0</v>
      </c>
      <c r="M124" s="89">
        <f>L124/L15</f>
        <v>0</v>
      </c>
      <c r="N124" s="90">
        <v>0</v>
      </c>
      <c r="O124" s="89">
        <f>N124/N15</f>
        <v>0</v>
      </c>
      <c r="P124" s="90">
        <v>0</v>
      </c>
      <c r="Q124" s="89">
        <f t="shared" si="119"/>
        <v>0</v>
      </c>
      <c r="R124" s="82">
        <v>0</v>
      </c>
      <c r="S124" s="89">
        <f t="shared" si="120"/>
        <v>0</v>
      </c>
      <c r="T124" s="82">
        <v>0</v>
      </c>
      <c r="U124" s="89">
        <f t="shared" si="121"/>
        <v>0</v>
      </c>
      <c r="V124" s="90">
        <f>T124-R124</f>
        <v>0</v>
      </c>
      <c r="W124" s="82">
        <v>0</v>
      </c>
      <c r="X124" s="89">
        <f t="shared" si="122"/>
        <v>0</v>
      </c>
    </row>
    <row r="125" spans="1:24" ht="14" hidden="1" x14ac:dyDescent="0.3">
      <c r="A125" s="99" t="s">
        <v>116</v>
      </c>
      <c r="B125" s="100">
        <v>0</v>
      </c>
      <c r="C125" s="88">
        <f t="shared" si="115"/>
        <v>0</v>
      </c>
      <c r="D125" s="82">
        <v>0</v>
      </c>
      <c r="E125" s="89">
        <f t="shared" si="116"/>
        <v>0</v>
      </c>
      <c r="F125" s="90">
        <v>0</v>
      </c>
      <c r="G125" s="89">
        <f t="shared" si="117"/>
        <v>0</v>
      </c>
      <c r="H125" s="82">
        <v>121425.80645161289</v>
      </c>
      <c r="I125" s="89">
        <f t="shared" si="118"/>
        <v>2.7523881127408038E-3</v>
      </c>
      <c r="J125" s="90">
        <v>129800</v>
      </c>
      <c r="K125" s="89">
        <f>J125/J15</f>
        <v>2.2348193393636252E-3</v>
      </c>
      <c r="L125" s="90">
        <v>0</v>
      </c>
      <c r="M125" s="89">
        <f>L125/L15</f>
        <v>0</v>
      </c>
      <c r="N125" s="90">
        <v>0</v>
      </c>
      <c r="O125" s="89">
        <f>N125/N15</f>
        <v>0</v>
      </c>
      <c r="P125" s="90">
        <v>0</v>
      </c>
      <c r="Q125" s="89">
        <f t="shared" si="119"/>
        <v>0</v>
      </c>
      <c r="R125" s="82">
        <v>0</v>
      </c>
      <c r="S125" s="89">
        <f t="shared" si="120"/>
        <v>0</v>
      </c>
      <c r="T125" s="82">
        <v>0</v>
      </c>
      <c r="U125" s="89">
        <f t="shared" si="121"/>
        <v>0</v>
      </c>
      <c r="V125" s="90">
        <f>T125-R125</f>
        <v>0</v>
      </c>
      <c r="W125" s="82">
        <v>0</v>
      </c>
      <c r="X125" s="89">
        <f t="shared" si="122"/>
        <v>0</v>
      </c>
    </row>
    <row r="126" spans="1:24" ht="14" hidden="1" x14ac:dyDescent="0.3">
      <c r="A126" s="2" t="s">
        <v>117</v>
      </c>
      <c r="B126" s="100">
        <v>0</v>
      </c>
      <c r="C126" s="88">
        <f t="shared" si="115"/>
        <v>0</v>
      </c>
      <c r="D126" s="82">
        <v>0</v>
      </c>
      <c r="E126" s="89">
        <f t="shared" si="116"/>
        <v>0</v>
      </c>
      <c r="F126" s="90">
        <v>55558.333333333328</v>
      </c>
      <c r="G126" s="89">
        <f t="shared" si="117"/>
        <v>1.0683907344064731E-3</v>
      </c>
      <c r="H126" s="82">
        <v>166675</v>
      </c>
      <c r="I126" s="89">
        <f t="shared" si="118"/>
        <v>3.7780625230920987E-3</v>
      </c>
      <c r="J126" s="90">
        <v>0</v>
      </c>
      <c r="K126" s="89">
        <f>J126/J15</f>
        <v>0</v>
      </c>
      <c r="L126" s="90">
        <v>0</v>
      </c>
      <c r="M126" s="89">
        <f>L126/L15</f>
        <v>0</v>
      </c>
      <c r="N126" s="90">
        <v>0</v>
      </c>
      <c r="O126" s="89">
        <f>N126/N15</f>
        <v>0</v>
      </c>
      <c r="P126" s="90">
        <v>0</v>
      </c>
      <c r="Q126" s="89">
        <f t="shared" si="119"/>
        <v>0</v>
      </c>
      <c r="R126" s="82">
        <v>0</v>
      </c>
      <c r="S126" s="89">
        <f t="shared" si="120"/>
        <v>0</v>
      </c>
      <c r="T126" s="82">
        <v>0</v>
      </c>
      <c r="U126" s="89">
        <f t="shared" si="121"/>
        <v>0</v>
      </c>
      <c r="V126" s="90">
        <f>T126-R126</f>
        <v>0</v>
      </c>
      <c r="W126" s="82">
        <v>0</v>
      </c>
    </row>
    <row r="127" spans="1:24" ht="13.5" hidden="1" thickBot="1" x14ac:dyDescent="0.35">
      <c r="A127" s="108" t="s">
        <v>118</v>
      </c>
      <c r="B127" s="109">
        <f>B116+B113</f>
        <v>2941602</v>
      </c>
      <c r="C127" s="110">
        <f>B127/$B$15</f>
        <v>6.4706636901564793E-2</v>
      </c>
      <c r="D127" s="109">
        <f t="shared" ref="D127:W127" si="125">D116+D113</f>
        <v>725989.03740000026</v>
      </c>
      <c r="E127" s="111">
        <f>D127/$D$15</f>
        <v>1.3816175713668269E-2</v>
      </c>
      <c r="F127" s="109">
        <f t="shared" ref="F127:H127" si="126">F116+F113</f>
        <v>280558.33333333331</v>
      </c>
      <c r="G127" s="111">
        <f t="shared" si="117"/>
        <v>5.395156870445888E-3</v>
      </c>
      <c r="H127" s="109">
        <f t="shared" si="126"/>
        <v>288100.80645161291</v>
      </c>
      <c r="I127" s="111">
        <f t="shared" si="118"/>
        <v>6.530450635832903E-3</v>
      </c>
      <c r="J127" s="112">
        <f t="shared" ref="J127:N127" si="127">J116+J113</f>
        <v>307800</v>
      </c>
      <c r="K127" s="111">
        <f>J127/J15</f>
        <v>5.2995176629901681E-3</v>
      </c>
      <c r="L127" s="112">
        <f t="shared" ref="L127" si="128">L116+L113</f>
        <v>407400</v>
      </c>
      <c r="M127" s="111">
        <f>L127/L15</f>
        <v>6.8055493738825284E-3</v>
      </c>
      <c r="N127" s="112">
        <f t="shared" si="127"/>
        <v>896576.9</v>
      </c>
      <c r="O127" s="111">
        <f>N127/N15</f>
        <v>1.2392696753121104E-2</v>
      </c>
      <c r="P127" s="112">
        <f t="shared" ref="P127" si="129">P116+P113</f>
        <v>0</v>
      </c>
      <c r="Q127" s="111">
        <f t="shared" si="119"/>
        <v>0</v>
      </c>
      <c r="R127" s="109">
        <f t="shared" si="125"/>
        <v>736731.68494000111</v>
      </c>
      <c r="S127" s="111">
        <f>R127/$R$15</f>
        <v>9.3261546647789659E-3</v>
      </c>
      <c r="T127" s="109">
        <f t="shared" ref="T127" si="130">T116+T113</f>
        <v>0</v>
      </c>
      <c r="U127" s="111">
        <f t="shared" si="121"/>
        <v>0</v>
      </c>
      <c r="V127" s="109">
        <f t="shared" si="125"/>
        <v>-736731.68494000111</v>
      </c>
      <c r="W127" s="109">
        <f t="shared" si="125"/>
        <v>0</v>
      </c>
      <c r="X127" s="111">
        <f>W127/$R$15</f>
        <v>0</v>
      </c>
    </row>
    <row r="128" spans="1:24" ht="14" x14ac:dyDescent="0.3">
      <c r="P128" s="90"/>
    </row>
    <row r="130" spans="1:24" ht="13" x14ac:dyDescent="0.3">
      <c r="A130" s="113" t="s">
        <v>119</v>
      </c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</row>
  </sheetData>
  <mergeCells count="2">
    <mergeCell ref="W1:X1"/>
    <mergeCell ref="A130:X1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YTD-PNL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 Singh</dc:creator>
  <cp:lastModifiedBy>Ranjeet Singh</cp:lastModifiedBy>
  <dcterms:created xsi:type="dcterms:W3CDTF">2026-02-04T11:08:34Z</dcterms:created>
  <dcterms:modified xsi:type="dcterms:W3CDTF">2026-02-04T11:09:38Z</dcterms:modified>
</cp:coreProperties>
</file>